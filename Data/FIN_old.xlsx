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bén\Dropbox\FIN\Data\"/>
    </mc:Choice>
  </mc:AlternateContent>
  <xr:revisionPtr revIDLastSave="0" documentId="13_ncr:1_{58B25BDB-B8A7-400E-85EB-56C1DADE48CE}" xr6:coauthVersionLast="47" xr6:coauthVersionMax="47" xr10:uidLastSave="{00000000-0000-0000-0000-000000000000}"/>
  <bookViews>
    <workbookView xWindow="-120" yWindow="-120" windowWidth="20730" windowHeight="11040" activeTab="1" xr2:uid="{44E5D1D5-0200-4B22-8CC8-35A69877FE74}"/>
  </bookViews>
  <sheets>
    <sheet name="INDEX" sheetId="1" r:id="rId1"/>
    <sheet name="Links" sheetId="4" r:id="rId2"/>
    <sheet name="Carteras_x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3" i="2"/>
  <c r="D92" i="1"/>
  <c r="B111" i="1" s="1"/>
  <c r="S91" i="1"/>
  <c r="R91" i="1"/>
  <c r="Q91" i="1"/>
  <c r="P91" i="1"/>
  <c r="O91" i="1"/>
  <c r="N91" i="1"/>
  <c r="M91" i="1"/>
  <c r="L91" i="1"/>
  <c r="G91" i="1"/>
  <c r="S90" i="1"/>
  <c r="R90" i="1"/>
  <c r="Q90" i="1"/>
  <c r="P90" i="1"/>
  <c r="O90" i="1"/>
  <c r="N90" i="1"/>
  <c r="M90" i="1"/>
  <c r="L90" i="1"/>
  <c r="G90" i="1"/>
  <c r="S89" i="1"/>
  <c r="R89" i="1"/>
  <c r="Q89" i="1"/>
  <c r="P89" i="1"/>
  <c r="O89" i="1"/>
  <c r="N89" i="1"/>
  <c r="M89" i="1"/>
  <c r="L89" i="1"/>
  <c r="G89" i="1"/>
  <c r="S88" i="1"/>
  <c r="R88" i="1"/>
  <c r="Q88" i="1"/>
  <c r="P88" i="1"/>
  <c r="O88" i="1"/>
  <c r="N88" i="1"/>
  <c r="M88" i="1"/>
  <c r="L88" i="1"/>
  <c r="G88" i="1"/>
  <c r="S87" i="1"/>
  <c r="R87" i="1"/>
  <c r="Q87" i="1"/>
  <c r="P87" i="1"/>
  <c r="O87" i="1"/>
  <c r="N87" i="1"/>
  <c r="M87" i="1"/>
  <c r="L87" i="1"/>
  <c r="G87" i="1"/>
  <c r="S86" i="1"/>
  <c r="R86" i="1"/>
  <c r="Q86" i="1"/>
  <c r="P86" i="1"/>
  <c r="O86" i="1"/>
  <c r="N86" i="1"/>
  <c r="M86" i="1"/>
  <c r="L86" i="1"/>
  <c r="G86" i="1"/>
  <c r="S85" i="1"/>
  <c r="R85" i="1"/>
  <c r="Q85" i="1"/>
  <c r="P85" i="1"/>
  <c r="O85" i="1"/>
  <c r="N85" i="1"/>
  <c r="M85" i="1"/>
  <c r="L85" i="1"/>
  <c r="G85" i="1"/>
  <c r="D85" i="1" s="1"/>
  <c r="X85" i="1" s="1"/>
  <c r="S84" i="1"/>
  <c r="R84" i="1"/>
  <c r="Q84" i="1"/>
  <c r="P84" i="1"/>
  <c r="O84" i="1"/>
  <c r="N84" i="1"/>
  <c r="M84" i="1"/>
  <c r="L84" i="1"/>
  <c r="G84" i="1"/>
  <c r="S83" i="1"/>
  <c r="R83" i="1"/>
  <c r="Q83" i="1"/>
  <c r="P83" i="1"/>
  <c r="O83" i="1"/>
  <c r="N83" i="1"/>
  <c r="M83" i="1"/>
  <c r="L83" i="1"/>
  <c r="G83" i="1"/>
  <c r="S82" i="1"/>
  <c r="R82" i="1"/>
  <c r="Q82" i="1"/>
  <c r="P82" i="1"/>
  <c r="O82" i="1"/>
  <c r="N82" i="1"/>
  <c r="M82" i="1"/>
  <c r="L82" i="1"/>
  <c r="G82" i="1"/>
  <c r="D82" i="1" s="1"/>
  <c r="X82" i="1" s="1"/>
  <c r="S81" i="1"/>
  <c r="R81" i="1"/>
  <c r="Q81" i="1"/>
  <c r="P81" i="1"/>
  <c r="O81" i="1"/>
  <c r="N81" i="1"/>
  <c r="M81" i="1"/>
  <c r="L81" i="1"/>
  <c r="G81" i="1"/>
  <c r="D81" i="1" s="1"/>
  <c r="X81" i="1" s="1"/>
  <c r="S80" i="1"/>
  <c r="R80" i="1"/>
  <c r="Q80" i="1"/>
  <c r="P80" i="1"/>
  <c r="O80" i="1"/>
  <c r="N80" i="1"/>
  <c r="M80" i="1"/>
  <c r="L80" i="1"/>
  <c r="G80" i="1"/>
  <c r="D80" i="1" s="1"/>
  <c r="X80" i="1" s="1"/>
  <c r="S79" i="1"/>
  <c r="R79" i="1"/>
  <c r="Q79" i="1"/>
  <c r="P79" i="1"/>
  <c r="O79" i="1"/>
  <c r="N79" i="1"/>
  <c r="M79" i="1"/>
  <c r="L79" i="1"/>
  <c r="G79" i="1"/>
  <c r="D79" i="1" s="1"/>
  <c r="S78" i="1"/>
  <c r="R78" i="1"/>
  <c r="Q78" i="1"/>
  <c r="P78" i="1"/>
  <c r="O78" i="1"/>
  <c r="N78" i="1"/>
  <c r="M78" i="1"/>
  <c r="L78" i="1"/>
  <c r="G78" i="1"/>
  <c r="S76" i="1"/>
  <c r="R76" i="1"/>
  <c r="Q76" i="1"/>
  <c r="P76" i="1"/>
  <c r="O76" i="1"/>
  <c r="N76" i="1"/>
  <c r="M76" i="1"/>
  <c r="L76" i="1"/>
  <c r="G76" i="1"/>
  <c r="S75" i="1"/>
  <c r="R75" i="1"/>
  <c r="Q75" i="1"/>
  <c r="P75" i="1"/>
  <c r="O75" i="1"/>
  <c r="N75" i="1"/>
  <c r="M75" i="1"/>
  <c r="L75" i="1"/>
  <c r="G75" i="1"/>
  <c r="S74" i="1"/>
  <c r="R74" i="1"/>
  <c r="Q74" i="1"/>
  <c r="P74" i="1"/>
  <c r="O74" i="1"/>
  <c r="N74" i="1"/>
  <c r="M74" i="1"/>
  <c r="L74" i="1"/>
  <c r="G74" i="1"/>
  <c r="S73" i="1"/>
  <c r="R73" i="1"/>
  <c r="Q73" i="1"/>
  <c r="P73" i="1"/>
  <c r="O73" i="1"/>
  <c r="N73" i="1"/>
  <c r="M73" i="1"/>
  <c r="L73" i="1"/>
  <c r="G73" i="1"/>
  <c r="S72" i="1"/>
  <c r="R72" i="1"/>
  <c r="Q72" i="1"/>
  <c r="P72" i="1"/>
  <c r="O72" i="1"/>
  <c r="N72" i="1"/>
  <c r="M72" i="1"/>
  <c r="L72" i="1"/>
  <c r="G72" i="1"/>
  <c r="S71" i="1"/>
  <c r="R71" i="1"/>
  <c r="Q71" i="1"/>
  <c r="P71" i="1"/>
  <c r="O71" i="1"/>
  <c r="N71" i="1"/>
  <c r="M71" i="1"/>
  <c r="L71" i="1"/>
  <c r="G71" i="1"/>
  <c r="S70" i="1"/>
  <c r="R70" i="1"/>
  <c r="Q70" i="1"/>
  <c r="P70" i="1"/>
  <c r="O70" i="1"/>
  <c r="N70" i="1"/>
  <c r="M70" i="1"/>
  <c r="L70" i="1"/>
  <c r="G70" i="1"/>
  <c r="S69" i="1"/>
  <c r="R69" i="1"/>
  <c r="Q69" i="1"/>
  <c r="P69" i="1"/>
  <c r="O69" i="1"/>
  <c r="N69" i="1"/>
  <c r="M69" i="1"/>
  <c r="L69" i="1"/>
  <c r="G69" i="1"/>
  <c r="D69" i="1" s="1"/>
  <c r="X69" i="1" s="1"/>
  <c r="S68" i="1"/>
  <c r="R68" i="1"/>
  <c r="Q68" i="1"/>
  <c r="P68" i="1"/>
  <c r="O68" i="1"/>
  <c r="N68" i="1"/>
  <c r="M68" i="1"/>
  <c r="L68" i="1"/>
  <c r="G68" i="1"/>
  <c r="S67" i="1"/>
  <c r="R67" i="1"/>
  <c r="Q67" i="1"/>
  <c r="P67" i="1"/>
  <c r="O67" i="1"/>
  <c r="N67" i="1"/>
  <c r="M67" i="1"/>
  <c r="L67" i="1"/>
  <c r="G67" i="1"/>
  <c r="D67" i="1" s="1"/>
  <c r="X67" i="1" s="1"/>
  <c r="S66" i="1"/>
  <c r="R66" i="1"/>
  <c r="Q66" i="1"/>
  <c r="P66" i="1"/>
  <c r="O66" i="1"/>
  <c r="N66" i="1"/>
  <c r="M66" i="1"/>
  <c r="L66" i="1"/>
  <c r="D66" i="1"/>
  <c r="X66" i="1" s="1"/>
  <c r="I64" i="1"/>
  <c r="B64" i="1"/>
  <c r="S63" i="1"/>
  <c r="R63" i="1"/>
  <c r="Q63" i="1"/>
  <c r="P63" i="1"/>
  <c r="O63" i="1"/>
  <c r="N63" i="1"/>
  <c r="M63" i="1"/>
  <c r="L63" i="1"/>
  <c r="G63" i="1"/>
  <c r="S62" i="1"/>
  <c r="R62" i="1"/>
  <c r="Q62" i="1"/>
  <c r="P62" i="1"/>
  <c r="O62" i="1"/>
  <c r="N62" i="1"/>
  <c r="M62" i="1"/>
  <c r="L62" i="1"/>
  <c r="G62" i="1"/>
  <c r="D62" i="1" s="1"/>
  <c r="X62" i="1" s="1"/>
  <c r="S61" i="1"/>
  <c r="R61" i="1"/>
  <c r="Q61" i="1"/>
  <c r="P61" i="1"/>
  <c r="O61" i="1"/>
  <c r="N61" i="1"/>
  <c r="M61" i="1"/>
  <c r="L61" i="1"/>
  <c r="G61" i="1"/>
  <c r="S60" i="1"/>
  <c r="R60" i="1"/>
  <c r="Q60" i="1"/>
  <c r="P60" i="1"/>
  <c r="O60" i="1"/>
  <c r="N60" i="1"/>
  <c r="M60" i="1"/>
  <c r="L60" i="1"/>
  <c r="G60" i="1"/>
  <c r="S59" i="1"/>
  <c r="R59" i="1"/>
  <c r="Q59" i="1"/>
  <c r="P59" i="1"/>
  <c r="O59" i="1"/>
  <c r="N59" i="1"/>
  <c r="M59" i="1"/>
  <c r="L59" i="1"/>
  <c r="G59" i="1"/>
  <c r="S58" i="1"/>
  <c r="R58" i="1"/>
  <c r="Q58" i="1"/>
  <c r="P58" i="1"/>
  <c r="O58" i="1"/>
  <c r="N58" i="1"/>
  <c r="M58" i="1"/>
  <c r="L58" i="1"/>
  <c r="G58" i="1"/>
  <c r="S57" i="1"/>
  <c r="R57" i="1"/>
  <c r="Q57" i="1"/>
  <c r="P57" i="1"/>
  <c r="O57" i="1"/>
  <c r="N57" i="1"/>
  <c r="M57" i="1"/>
  <c r="L57" i="1"/>
  <c r="G57" i="1"/>
  <c r="B56" i="1"/>
  <c r="S56" i="1" s="1"/>
  <c r="S55" i="1"/>
  <c r="R55" i="1"/>
  <c r="Q55" i="1"/>
  <c r="P55" i="1"/>
  <c r="O55" i="1"/>
  <c r="N55" i="1"/>
  <c r="M55" i="1"/>
  <c r="L55" i="1"/>
  <c r="G55" i="1"/>
  <c r="S54" i="1"/>
  <c r="R54" i="1"/>
  <c r="Q54" i="1"/>
  <c r="P54" i="1"/>
  <c r="O54" i="1"/>
  <c r="N54" i="1"/>
  <c r="M54" i="1"/>
  <c r="L54" i="1"/>
  <c r="G54" i="1"/>
  <c r="B53" i="1"/>
  <c r="B52" i="1"/>
  <c r="S50" i="1"/>
  <c r="R50" i="1"/>
  <c r="Q50" i="1"/>
  <c r="P50" i="1"/>
  <c r="O50" i="1"/>
  <c r="N50" i="1"/>
  <c r="M50" i="1"/>
  <c r="L50" i="1"/>
  <c r="G50" i="1"/>
  <c r="D50" i="1" s="1"/>
  <c r="S48" i="1"/>
  <c r="R48" i="1"/>
  <c r="Q48" i="1"/>
  <c r="P48" i="1"/>
  <c r="O48" i="1"/>
  <c r="N48" i="1"/>
  <c r="M48" i="1"/>
  <c r="L48" i="1"/>
  <c r="G48" i="1"/>
  <c r="S47" i="1"/>
  <c r="R47" i="1"/>
  <c r="Q47" i="1"/>
  <c r="P47" i="1"/>
  <c r="O47" i="1"/>
  <c r="N47" i="1"/>
  <c r="M47" i="1"/>
  <c r="L47" i="1"/>
  <c r="G47" i="1"/>
  <c r="S46" i="1"/>
  <c r="R46" i="1"/>
  <c r="Q46" i="1"/>
  <c r="P46" i="1"/>
  <c r="O46" i="1"/>
  <c r="N46" i="1"/>
  <c r="M46" i="1"/>
  <c r="L46" i="1"/>
  <c r="G46" i="1"/>
  <c r="S45" i="1"/>
  <c r="R45" i="1"/>
  <c r="Q45" i="1"/>
  <c r="P45" i="1"/>
  <c r="O45" i="1"/>
  <c r="N45" i="1"/>
  <c r="M45" i="1"/>
  <c r="L45" i="1"/>
  <c r="G45" i="1"/>
  <c r="S44" i="1"/>
  <c r="R44" i="1"/>
  <c r="Q44" i="1"/>
  <c r="P44" i="1"/>
  <c r="O44" i="1"/>
  <c r="N44" i="1"/>
  <c r="M44" i="1"/>
  <c r="L44" i="1"/>
  <c r="G44" i="1"/>
  <c r="S43" i="1"/>
  <c r="R43" i="1"/>
  <c r="Q43" i="1"/>
  <c r="P43" i="1"/>
  <c r="O43" i="1"/>
  <c r="N43" i="1"/>
  <c r="M43" i="1"/>
  <c r="L43" i="1"/>
  <c r="G43" i="1"/>
  <c r="S42" i="1"/>
  <c r="R42" i="1"/>
  <c r="Q42" i="1"/>
  <c r="P42" i="1"/>
  <c r="O42" i="1"/>
  <c r="N42" i="1"/>
  <c r="M42" i="1"/>
  <c r="L42" i="1"/>
  <c r="G42" i="1"/>
  <c r="S41" i="1"/>
  <c r="R41" i="1"/>
  <c r="Q41" i="1"/>
  <c r="P41" i="1"/>
  <c r="O41" i="1"/>
  <c r="N41" i="1"/>
  <c r="M41" i="1"/>
  <c r="L41" i="1"/>
  <c r="G41" i="1"/>
  <c r="S40" i="1"/>
  <c r="R40" i="1"/>
  <c r="Q40" i="1"/>
  <c r="P40" i="1"/>
  <c r="O40" i="1"/>
  <c r="N40" i="1"/>
  <c r="M40" i="1"/>
  <c r="L40" i="1"/>
  <c r="G40" i="1"/>
  <c r="S39" i="1"/>
  <c r="R39" i="1"/>
  <c r="Q39" i="1"/>
  <c r="P39" i="1"/>
  <c r="O39" i="1"/>
  <c r="N39" i="1"/>
  <c r="M39" i="1"/>
  <c r="L39" i="1"/>
  <c r="G39" i="1"/>
  <c r="S38" i="1"/>
  <c r="R38" i="1"/>
  <c r="Q38" i="1"/>
  <c r="P38" i="1"/>
  <c r="O38" i="1"/>
  <c r="N38" i="1"/>
  <c r="M38" i="1"/>
  <c r="L38" i="1"/>
  <c r="G38" i="1"/>
  <c r="S37" i="1"/>
  <c r="R37" i="1"/>
  <c r="Q37" i="1"/>
  <c r="P37" i="1"/>
  <c r="O37" i="1"/>
  <c r="N37" i="1"/>
  <c r="M37" i="1"/>
  <c r="L37" i="1"/>
  <c r="G37" i="1"/>
  <c r="S36" i="1"/>
  <c r="R36" i="1"/>
  <c r="Q36" i="1"/>
  <c r="P36" i="1"/>
  <c r="O36" i="1"/>
  <c r="N36" i="1"/>
  <c r="M36" i="1"/>
  <c r="L36" i="1"/>
  <c r="G36" i="1"/>
  <c r="S35" i="1"/>
  <c r="R35" i="1"/>
  <c r="Q35" i="1"/>
  <c r="P35" i="1"/>
  <c r="O35" i="1"/>
  <c r="N35" i="1"/>
  <c r="M35" i="1"/>
  <c r="L35" i="1"/>
  <c r="G35" i="1"/>
  <c r="D35" i="1" s="1"/>
  <c r="X35" i="1" s="1"/>
  <c r="S34" i="1"/>
  <c r="R34" i="1"/>
  <c r="Q34" i="1"/>
  <c r="P34" i="1"/>
  <c r="O34" i="1"/>
  <c r="N34" i="1"/>
  <c r="M34" i="1"/>
  <c r="L34" i="1"/>
  <c r="G34" i="1"/>
  <c r="D34" i="1" s="1"/>
  <c r="X34" i="1" s="1"/>
  <c r="S33" i="1"/>
  <c r="R33" i="1"/>
  <c r="Q33" i="1"/>
  <c r="P33" i="1"/>
  <c r="O33" i="1"/>
  <c r="N33" i="1"/>
  <c r="M33" i="1"/>
  <c r="L33" i="1"/>
  <c r="G33" i="1"/>
  <c r="D33" i="1" s="1"/>
  <c r="X33" i="1" s="1"/>
  <c r="S32" i="1"/>
  <c r="R32" i="1"/>
  <c r="Q32" i="1"/>
  <c r="P32" i="1"/>
  <c r="O32" i="1"/>
  <c r="N32" i="1"/>
  <c r="M32" i="1"/>
  <c r="L32" i="1"/>
  <c r="G32" i="1"/>
  <c r="D32" i="1" s="1"/>
  <c r="X32" i="1" s="1"/>
  <c r="S31" i="1"/>
  <c r="R31" i="1"/>
  <c r="Q31" i="1"/>
  <c r="P31" i="1"/>
  <c r="O31" i="1"/>
  <c r="N31" i="1"/>
  <c r="M31" i="1"/>
  <c r="L31" i="1"/>
  <c r="G31" i="1"/>
  <c r="D31" i="1" s="1"/>
  <c r="X31" i="1" s="1"/>
  <c r="S30" i="1"/>
  <c r="R30" i="1"/>
  <c r="Q30" i="1"/>
  <c r="P30" i="1"/>
  <c r="O30" i="1"/>
  <c r="N30" i="1"/>
  <c r="M30" i="1"/>
  <c r="L30" i="1"/>
  <c r="G30" i="1"/>
  <c r="D30" i="1" s="1"/>
  <c r="W29" i="1"/>
  <c r="S29" i="1"/>
  <c r="R29" i="1"/>
  <c r="Q29" i="1"/>
  <c r="P29" i="1"/>
  <c r="O29" i="1"/>
  <c r="N29" i="1"/>
  <c r="M29" i="1"/>
  <c r="L29" i="1"/>
  <c r="G29" i="1"/>
  <c r="D29" i="1" s="1"/>
  <c r="S27" i="1"/>
  <c r="R27" i="1"/>
  <c r="Q27" i="1"/>
  <c r="P27" i="1"/>
  <c r="O27" i="1"/>
  <c r="N27" i="1"/>
  <c r="M27" i="1"/>
  <c r="L27" i="1"/>
  <c r="G27" i="1"/>
  <c r="S26" i="1"/>
  <c r="R26" i="1"/>
  <c r="Q26" i="1"/>
  <c r="P26" i="1"/>
  <c r="O26" i="1"/>
  <c r="N26" i="1"/>
  <c r="M26" i="1"/>
  <c r="L26" i="1"/>
  <c r="G26" i="1"/>
  <c r="S25" i="1"/>
  <c r="R25" i="1"/>
  <c r="Q25" i="1"/>
  <c r="P25" i="1"/>
  <c r="O25" i="1"/>
  <c r="N25" i="1"/>
  <c r="M25" i="1"/>
  <c r="L25" i="1"/>
  <c r="G25" i="1"/>
  <c r="S24" i="1"/>
  <c r="R24" i="1"/>
  <c r="Q24" i="1"/>
  <c r="P24" i="1"/>
  <c r="O24" i="1"/>
  <c r="N24" i="1"/>
  <c r="M24" i="1"/>
  <c r="L24" i="1"/>
  <c r="G24" i="1"/>
  <c r="S23" i="1"/>
  <c r="R23" i="1"/>
  <c r="Q23" i="1"/>
  <c r="P23" i="1"/>
  <c r="O23" i="1"/>
  <c r="N23" i="1"/>
  <c r="M23" i="1"/>
  <c r="L23" i="1"/>
  <c r="G23" i="1"/>
  <c r="S22" i="1"/>
  <c r="R22" i="1"/>
  <c r="Q22" i="1"/>
  <c r="P22" i="1"/>
  <c r="O22" i="1"/>
  <c r="N22" i="1"/>
  <c r="M22" i="1"/>
  <c r="L22" i="1"/>
  <c r="G22" i="1"/>
  <c r="S21" i="1"/>
  <c r="R21" i="1"/>
  <c r="Q21" i="1"/>
  <c r="P21" i="1"/>
  <c r="O21" i="1"/>
  <c r="N21" i="1"/>
  <c r="M21" i="1"/>
  <c r="L21" i="1"/>
  <c r="G21" i="1"/>
  <c r="S20" i="1"/>
  <c r="R20" i="1"/>
  <c r="Q20" i="1"/>
  <c r="P20" i="1"/>
  <c r="O20" i="1"/>
  <c r="N20" i="1"/>
  <c r="M20" i="1"/>
  <c r="L20" i="1"/>
  <c r="G20" i="1"/>
  <c r="S19" i="1"/>
  <c r="R19" i="1"/>
  <c r="Q19" i="1"/>
  <c r="P19" i="1"/>
  <c r="O19" i="1"/>
  <c r="N19" i="1"/>
  <c r="M19" i="1"/>
  <c r="L19" i="1"/>
  <c r="G19" i="1"/>
  <c r="S18" i="1"/>
  <c r="R18" i="1"/>
  <c r="Q18" i="1"/>
  <c r="P18" i="1"/>
  <c r="O18" i="1"/>
  <c r="N18" i="1"/>
  <c r="M18" i="1"/>
  <c r="L18" i="1"/>
  <c r="G18" i="1"/>
  <c r="D18" i="1" s="1"/>
  <c r="X18" i="1" s="1"/>
  <c r="S17" i="1"/>
  <c r="R17" i="1"/>
  <c r="Q17" i="1"/>
  <c r="P17" i="1"/>
  <c r="O17" i="1"/>
  <c r="N17" i="1"/>
  <c r="M17" i="1"/>
  <c r="L17" i="1"/>
  <c r="G17" i="1"/>
  <c r="S16" i="1"/>
  <c r="R16" i="1"/>
  <c r="Q16" i="1"/>
  <c r="P16" i="1"/>
  <c r="O16" i="1"/>
  <c r="N16" i="1"/>
  <c r="M16" i="1"/>
  <c r="L16" i="1"/>
  <c r="G16" i="1"/>
  <c r="S15" i="1"/>
  <c r="R15" i="1"/>
  <c r="Q15" i="1"/>
  <c r="P15" i="1"/>
  <c r="O15" i="1"/>
  <c r="N15" i="1"/>
  <c r="M15" i="1"/>
  <c r="L15" i="1"/>
  <c r="G15" i="1"/>
  <c r="D15" i="1" s="1"/>
  <c r="X15" i="1" s="1"/>
  <c r="S14" i="1"/>
  <c r="R14" i="1"/>
  <c r="Q14" i="1"/>
  <c r="P14" i="1"/>
  <c r="O14" i="1"/>
  <c r="N14" i="1"/>
  <c r="M14" i="1"/>
  <c r="L14" i="1"/>
  <c r="G14" i="1"/>
  <c r="D14" i="1" s="1"/>
  <c r="X14" i="1" s="1"/>
  <c r="S13" i="1"/>
  <c r="R13" i="1"/>
  <c r="Q13" i="1"/>
  <c r="P13" i="1"/>
  <c r="O13" i="1"/>
  <c r="N13" i="1"/>
  <c r="M13" i="1"/>
  <c r="L13" i="1"/>
  <c r="G13" i="1"/>
  <c r="D13" i="1" s="1"/>
  <c r="S12" i="1"/>
  <c r="R12" i="1"/>
  <c r="Q12" i="1"/>
  <c r="P12" i="1"/>
  <c r="O12" i="1"/>
  <c r="N12" i="1"/>
  <c r="M12" i="1"/>
  <c r="L12" i="1"/>
  <c r="G12" i="1"/>
  <c r="D12" i="1" s="1"/>
  <c r="D11" i="1" s="1"/>
  <c r="B106" i="1" s="1"/>
  <c r="S10" i="1"/>
  <c r="R10" i="1"/>
  <c r="Q10" i="1"/>
  <c r="P10" i="1"/>
  <c r="O10" i="1"/>
  <c r="N10" i="1"/>
  <c r="M10" i="1"/>
  <c r="L10" i="1"/>
  <c r="G10" i="1"/>
  <c r="D10" i="1" s="1"/>
  <c r="X10" i="1" s="1"/>
  <c r="S9" i="1"/>
  <c r="R9" i="1"/>
  <c r="Q9" i="1"/>
  <c r="P9" i="1"/>
  <c r="O9" i="1"/>
  <c r="N9" i="1"/>
  <c r="M9" i="1"/>
  <c r="L9" i="1"/>
  <c r="G9" i="1"/>
  <c r="S8" i="1"/>
  <c r="R8" i="1"/>
  <c r="Q8" i="1"/>
  <c r="P8" i="1"/>
  <c r="O8" i="1"/>
  <c r="N8" i="1"/>
  <c r="M8" i="1"/>
  <c r="L8" i="1"/>
  <c r="G8" i="1"/>
  <c r="S7" i="1"/>
  <c r="R7" i="1"/>
  <c r="Q7" i="1"/>
  <c r="P7" i="1"/>
  <c r="O7" i="1"/>
  <c r="N7" i="1"/>
  <c r="M7" i="1"/>
  <c r="L7" i="1"/>
  <c r="G7" i="1"/>
  <c r="S6" i="1"/>
  <c r="R6" i="1"/>
  <c r="Q6" i="1"/>
  <c r="P6" i="1"/>
  <c r="O6" i="1"/>
  <c r="N6" i="1"/>
  <c r="M6" i="1"/>
  <c r="L6" i="1"/>
  <c r="G6" i="1"/>
  <c r="S5" i="1"/>
  <c r="R5" i="1"/>
  <c r="Q5" i="1"/>
  <c r="P5" i="1"/>
  <c r="O5" i="1"/>
  <c r="N5" i="1"/>
  <c r="M5" i="1"/>
  <c r="L5" i="1"/>
  <c r="G5" i="1"/>
  <c r="S4" i="1"/>
  <c r="R4" i="1"/>
  <c r="Q4" i="1"/>
  <c r="P4" i="1"/>
  <c r="O4" i="1"/>
  <c r="N4" i="1"/>
  <c r="M4" i="1"/>
  <c r="L4" i="1"/>
  <c r="G4" i="1"/>
  <c r="D3" i="1"/>
  <c r="X3" i="1" s="1"/>
  <c r="M64" i="1" l="1"/>
  <c r="N64" i="1"/>
  <c r="L64" i="1"/>
  <c r="Q53" i="1"/>
  <c r="R53" i="1"/>
  <c r="P53" i="1"/>
  <c r="O53" i="1"/>
  <c r="N53" i="1"/>
  <c r="M53" i="1"/>
  <c r="L53" i="1"/>
  <c r="M52" i="1"/>
  <c r="L52" i="1"/>
  <c r="N52" i="1"/>
  <c r="L56" i="1"/>
  <c r="N56" i="1"/>
  <c r="P56" i="1"/>
  <c r="R56" i="1"/>
  <c r="P52" i="1"/>
  <c r="R52" i="1"/>
  <c r="X29" i="1"/>
  <c r="D28" i="1"/>
  <c r="B107" i="1" s="1"/>
  <c r="D77" i="1"/>
  <c r="B110" i="1" s="1"/>
  <c r="X79" i="1"/>
  <c r="X102" i="1"/>
  <c r="B117" i="1"/>
  <c r="X30" i="1"/>
  <c r="B118" i="1"/>
  <c r="D49" i="1"/>
  <c r="B108" i="1" s="1"/>
  <c r="X50" i="1"/>
  <c r="B116" i="1"/>
  <c r="X13" i="1"/>
  <c r="O52" i="1"/>
  <c r="G53" i="1"/>
  <c r="D53" i="1" s="1"/>
  <c r="X53" i="1" s="1"/>
  <c r="S53" i="1"/>
  <c r="M56" i="1"/>
  <c r="O64" i="1"/>
  <c r="X12" i="1"/>
  <c r="P64" i="1"/>
  <c r="D2" i="1"/>
  <c r="Q52" i="1"/>
  <c r="O56" i="1"/>
  <c r="Q64" i="1"/>
  <c r="B114" i="1"/>
  <c r="G64" i="1"/>
  <c r="D64" i="1" s="1"/>
  <c r="X64" i="1" s="1"/>
  <c r="R64" i="1"/>
  <c r="B115" i="1"/>
  <c r="G52" i="1"/>
  <c r="D52" i="1" s="1"/>
  <c r="S52" i="1"/>
  <c r="Q56" i="1"/>
  <c r="S64" i="1"/>
  <c r="G56" i="1"/>
  <c r="D56" i="1" s="1"/>
  <c r="X56" i="1" s="1"/>
  <c r="X52" i="1" l="1"/>
  <c r="D51" i="1"/>
  <c r="B109" i="1" s="1"/>
  <c r="B105" i="1"/>
  <c r="B112" i="1"/>
  <c r="X103" i="1" s="1"/>
</calcChain>
</file>

<file path=xl/sharedStrings.xml><?xml version="1.0" encoding="utf-8"?>
<sst xmlns="http://schemas.openxmlformats.org/spreadsheetml/2006/main" count="980" uniqueCount="430">
  <si>
    <t>MONTEARIOS</t>
  </si>
  <si>
    <t>ISIN</t>
  </si>
  <si>
    <t>Riesgo</t>
  </si>
  <si>
    <t>Precio</t>
  </si>
  <si>
    <t>TER</t>
  </si>
  <si>
    <t>ÍNDICE</t>
  </si>
  <si>
    <t>ENTIDAD</t>
  </si>
  <si>
    <t>ENLACE FINECT</t>
  </si>
  <si>
    <t>Return (12m)</t>
  </si>
  <si>
    <t>Return (3)</t>
  </si>
  <si>
    <t>Return (5)</t>
  </si>
  <si>
    <t>Deviation (12m)</t>
  </si>
  <si>
    <t>Deviation (3)</t>
  </si>
  <si>
    <t>Deviation (5)</t>
  </si>
  <si>
    <t>Sharpe (5)</t>
  </si>
  <si>
    <t>Max Drawdown (5)</t>
  </si>
  <si>
    <t>Year max drawdown</t>
  </si>
  <si>
    <t>COMENTARIO</t>
  </si>
  <si>
    <t>Caída 2020</t>
  </si>
  <si>
    <t>Caída 2022</t>
  </si>
  <si>
    <t>Escenario covid</t>
  </si>
  <si>
    <t>Cash</t>
  </si>
  <si>
    <t>Bajo</t>
  </si>
  <si>
    <t>Axa Trésor Court Terme C</t>
  </si>
  <si>
    <t>FR0000447823</t>
  </si>
  <si>
    <t>€STR</t>
  </si>
  <si>
    <t>Myinvestor</t>
  </si>
  <si>
    <t>https://www.finect.com/fondos-inversion/FR0000447823-Axa_tresor_court_terme_c</t>
  </si>
  <si>
    <t>Monetario; Year Max drawdown=2021</t>
  </si>
  <si>
    <t>Groupama Trésorerie IC</t>
  </si>
  <si>
    <t>FR0000989626</t>
  </si>
  <si>
    <t>https://www.finect.com/fondos-inversion/FR0000989626-Groupama_tresorerie_ic</t>
  </si>
  <si>
    <t>La Française Trésorerie ISR R</t>
  </si>
  <si>
    <t>FR0000991390</t>
  </si>
  <si>
    <t>Openbank</t>
  </si>
  <si>
    <t>https://www.finect.com/fondos-inversion/FR0000991390-La_francaise_tresorerie_isr_r</t>
  </si>
  <si>
    <t>Groupama Entreprises NC</t>
  </si>
  <si>
    <t>FR0010288316</t>
  </si>
  <si>
    <t>Bankinter</t>
  </si>
  <si>
    <t>https://www.finect.com/fondos-inversion/FR0010288316-Groupama_entreprises_n</t>
  </si>
  <si>
    <t>BNP Paribas Euro Money Market C Cap</t>
  </si>
  <si>
    <t>LU0083138064</t>
  </si>
  <si>
    <t>https://www.finect.com/fondos-inversion/LU0083138064-Bnp_paribas_euro_money_market_c_cap</t>
  </si>
  <si>
    <t>Monetario;Year Max drawdown=2021</t>
  </si>
  <si>
    <t>Pictet-Sovereign Short-Term MM EUR P</t>
  </si>
  <si>
    <t>LU0366536711</t>
  </si>
  <si>
    <t>https://www.finect.com/fondos-inversion/LU0366536711-Pictetsovereign_shortterm_mm_eur_p</t>
  </si>
  <si>
    <t>DWS Floating Rate Notes LC</t>
  </si>
  <si>
    <t>LU0034353002</t>
  </si>
  <si>
    <t>No benchmark</t>
  </si>
  <si>
    <t>https://www.finect.com/fondos-inversion/LU0034353002-Dws_floating_rate_notes_lc</t>
  </si>
  <si>
    <t>Renta fija corto plazo/Monetario; Year Max drawdown=2018</t>
  </si>
  <si>
    <t>RENTA FIJA CORTO PLAZO</t>
  </si>
  <si>
    <t>Aegon European ABS Fund A EUR Acc</t>
  </si>
  <si>
    <t>IE00BG226Z29</t>
  </si>
  <si>
    <t>Medio_Bajo</t>
  </si>
  <si>
    <t>Bloomberg Cap Eur ABS Fix&amp;Float H TR USD</t>
  </si>
  <si>
    <t>https://www.finect.com/fondos-inversion/IE00BG226Z29-Aegon_european_abs_a_eur_acc</t>
  </si>
  <si>
    <t>Evli Nordic Corporate Bond B</t>
  </si>
  <si>
    <t>FI0008811997</t>
  </si>
  <si>
    <t>Medio</t>
  </si>
  <si>
    <t>BofA Merrill Lynch 1-5 EUR Corp</t>
  </si>
  <si>
    <t>https://www.finect.com/fondos-inversion/FI0008811997-Evli_nordic_corporate_bond_b</t>
  </si>
  <si>
    <t>Neuberger Berman Short Duration Euro Bond Fund Class EUR I Accumulating</t>
  </si>
  <si>
    <t>IE00BFZMJT78</t>
  </si>
  <si>
    <t>Bloomberg Euro Agg 1-3 Yr TR EUR</t>
  </si>
  <si>
    <t>https://www.finect.com/fondos-inversion/IE00BFZMJT78-Neuberger_berman_ultr_st_er_bd_eur_iacc</t>
  </si>
  <si>
    <t>-5,59%</t>
  </si>
  <si>
    <t>B&amp;H Deuda FI</t>
  </si>
  <si>
    <t>ES0112618006</t>
  </si>
  <si>
    <t>RF Flexible EUR</t>
  </si>
  <si>
    <t>https://www.finect.com/fondos-inversion/ES0112618006-Bh_deuda_fi</t>
  </si>
  <si>
    <t>Pareto Nordic Cross Credit</t>
  </si>
  <si>
    <t>LU2023201044</t>
  </si>
  <si>
    <t>RF Otros</t>
  </si>
  <si>
    <t>https://www.finect.com/fondos-inversion/LU2023201044-Pareto_nordic_cross_credit_h_i_eur</t>
  </si>
  <si>
    <t>Amundi S.F. - Diversified Short-Term Bond Select A EUR ND</t>
  </si>
  <si>
    <t>LU1706854152</t>
  </si>
  <si>
    <t>RF Diversificada Corto Plazo EUR</t>
  </si>
  <si>
    <t>https://www.finect.com/fondos-inversion/LU1706854152-Amundi_sf_diversified_st_bd_a_eur_nd</t>
  </si>
  <si>
    <t>Twelve Capital UCITS ICAV - Twelve Cat Bond Fund P EUR Acc</t>
  </si>
  <si>
    <t>IE00BD2B9710</t>
  </si>
  <si>
    <t>RF Otros. Seguros contra catastrofes</t>
  </si>
  <si>
    <t>https://www.finect.com/fondos-inversion/IE00BD2B9710-Twelve_cat_bond_p_eur_acc</t>
  </si>
  <si>
    <t>Year max drawdown =2022</t>
  </si>
  <si>
    <t>.</t>
  </si>
  <si>
    <t>UBS Renta Fija 0-5 FI</t>
  </si>
  <si>
    <t>ES0124880032</t>
  </si>
  <si>
    <t>https://www.finect.com/fondos-inversion/ES0124880032-Cs_renta_fija_05_b_fi</t>
  </si>
  <si>
    <t>Lazard Euro Short Duration IC</t>
  </si>
  <si>
    <t>FR0000027609</t>
  </si>
  <si>
    <t>0.435%+20%</t>
  </si>
  <si>
    <t>ICE BofA 1-3Y EUR Corp TR EUR</t>
  </si>
  <si>
    <t>https://www.finect.com/fondos-inversion/FR0000027609-Lazard_euro_short_duration_sri_ic</t>
  </si>
  <si>
    <t>Nordea 1 - Low Duration European Covered Bond Fund BP EUR</t>
  </si>
  <si>
    <t>LU1694212348</t>
  </si>
  <si>
    <t>RF Deuda Corporativa Corto Plazo EUR</t>
  </si>
  <si>
    <t>https://www.finect.com/fondos-inversion/LU1694212348-Nordea_1__low_dur_eurp_cov_bd_bp_eur</t>
  </si>
  <si>
    <t>M&amp;G (Lux) Short Dated Corporate Bond Fund EUR A Acc</t>
  </si>
  <si>
    <t>LU1670718219</t>
  </si>
  <si>
    <t>https://www.finect.com/fondos-inversion/LU1670718219-Mg_lux_short_dtd_corp_bd_a_eur_acc</t>
  </si>
  <si>
    <t>Aegon European ABS Fund B EUR Acc</t>
  </si>
  <si>
    <t>IE00BZ005D22</t>
  </si>
  <si>
    <t>https://www.finect.com/fondos-inversion/IE00BZ005D22-Aegon_european_abs_b_eur_acc</t>
  </si>
  <si>
    <t>Evli Short Corporate Bond B</t>
  </si>
  <si>
    <t>FI0008800511</t>
  </si>
  <si>
    <t>Euribor 3 Month EUR</t>
  </si>
  <si>
    <t>https://www.finect.com/fondos-inversion/FI0008800511-Evli_short_corporate_bond_b</t>
  </si>
  <si>
    <t>Carmignac Sécurité AW EUR Acc</t>
  </si>
  <si>
    <t>FR0010149120</t>
  </si>
  <si>
    <t>ICE BofA 1-3Y All EUR Govt TR EUR</t>
  </si>
  <si>
    <t>https://www.finect.com/fondos-inversion/FR0010149120-Carmignac_securite_aw_eur_acc</t>
  </si>
  <si>
    <t>Renta fija corto plazo; Year Max drawdown=2022</t>
  </si>
  <si>
    <t>Global Short-Term Bond - EUR Hedged Acc (VGSTIEH)</t>
  </si>
  <si>
    <t>IE00BH65QP47</t>
  </si>
  <si>
    <t>Bloomberg Global Aggregate Ex US MBS 1-5 Year Float Adjusted and Scaled Index</t>
  </si>
  <si>
    <t>https://www.finect.com/fondos-inversion/IE00BH65QP47-Vanguard_glb_st_bd_idx__h_acc</t>
  </si>
  <si>
    <t>Fondo indexado renta fija corto plazo</t>
  </si>
  <si>
    <t>Global Short-Term Corporate Bond Index Fund - EUR Hedged Acc (VACBIEH)</t>
  </si>
  <si>
    <t>IE00BDFB7290</t>
  </si>
  <si>
    <t>Bloomberg Global Aggregate Corporate 1-5 Year Float Adjusted Index</t>
  </si>
  <si>
    <t>https://www.finect.com/fondos-inversion/IE00BDFB7290-Vanguard_glb_st_corp_bd_idx__h_acc</t>
  </si>
  <si>
    <t>Fondo indexado renta fija corporativa corto plazo</t>
  </si>
  <si>
    <t>RENTA FIJA MEDIO PLAZO</t>
  </si>
  <si>
    <t>Ábaco Renta Fija Mixta Global FI</t>
  </si>
  <si>
    <t>ES0140072028</t>
  </si>
  <si>
    <t>Mixtos Defensivos EUR - Global</t>
  </si>
  <si>
    <t>https://www.finect.com/fondos-inversion/ES0140072028-Abaco_renta_fija_mixta_global_c_fi</t>
  </si>
  <si>
    <t>Storm Fund II - Storm Bond Fund RC EUR</t>
  </si>
  <si>
    <t>LU0840158819</t>
  </si>
  <si>
    <t>Medio_alto</t>
  </si>
  <si>
    <t>NOK High Yield Bond</t>
  </si>
  <si>
    <t>https://www.finect.com/fondos-inversion/LU0840158819-Storm_bond_rc_eur</t>
  </si>
  <si>
    <t>Gamma Global A FI</t>
  </si>
  <si>
    <t>ES0140794001</t>
  </si>
  <si>
    <t>0.95%+9%</t>
  </si>
  <si>
    <t>Not Benchmarked</t>
  </si>
  <si>
    <t>https://www.finect.com/fondos-inversion/ES0140794001-Gamma_global_fi</t>
  </si>
  <si>
    <t>-</t>
  </si>
  <si>
    <t>Carmignac Pf Credit A EUR Acc</t>
  </si>
  <si>
    <t>LU1623762843</t>
  </si>
  <si>
    <t>Medio_Alto</t>
  </si>
  <si>
    <t>75,00% ICE BofA Euro Corporate TR EUR, 25,00% ICE BofA Euro High Yield TR EUR</t>
  </si>
  <si>
    <t>https://www.finect.com/fondos-inversion/LU1623762843-Carmignac_pf_credit_a_eur_acc</t>
  </si>
  <si>
    <t>Deuda corporativa 3-5 años</t>
  </si>
  <si>
    <t>SIH FCP - BrightGate Global Income Fund</t>
  </si>
  <si>
    <t>LU0942882589</t>
  </si>
  <si>
    <t>RF Flexible Global-EUR Cubierto</t>
  </si>
  <si>
    <t>https://www.finect.com/fondos-inversion/LU0942882589-Sigma_inv_house_fcp_brightg_glb_inc_a_i</t>
  </si>
  <si>
    <t>Man Funds VI plc - Man High Yield Opportunities D EUR</t>
  </si>
  <si>
    <t>IE00BDTYYP61</t>
  </si>
  <si>
    <t>RF Bonos Alto Rendimiento Global - EUR Cubierto</t>
  </si>
  <si>
    <t>https://www.finect.com/fondos-inversion/IE00BDTYYP61-Man_glg_hi_yld_opps_d_eur_acc</t>
  </si>
  <si>
    <t>M&amp;G (Lux) Global Floating Rate High Yield Fund EUR A-H Acc</t>
  </si>
  <si>
    <t>LU1670722161</t>
  </si>
  <si>
    <t>ICE BofA Gbl Fl Rt HY 3% cons hdg TR USD</t>
  </si>
  <si>
    <t>https://www.finect.com/fondos-inversion/LU1670722161-Mg_lux_glb_fl_rt_hy_a_h_eur_acc</t>
  </si>
  <si>
    <t>iShares Euro Investment Grade Corporate Bond Index Fund (IE) Institutional Acc EUR</t>
  </si>
  <si>
    <t>IE00B67T5G21</t>
  </si>
  <si>
    <t>Bloomberg Euro Corp TR EUR</t>
  </si>
  <si>
    <t>https://www.finect.com/fondos-inversion/IE00B67T5G21-Ishares_euro_invgrdcorpbdidxieinstacc</t>
  </si>
  <si>
    <t>U.S. Government Bond Index Fund - EUR Hedged Acc (VGUGBSE)</t>
  </si>
  <si>
    <t>IE0007471471</t>
  </si>
  <si>
    <t>Bloomberg U.S. Government Float Adjusted Bond Index in EUR</t>
  </si>
  <si>
    <t>https://www.finect.com/fondos-inversion/IE0007471471-Vanguard_us_govt_bd_idx__h_acc</t>
  </si>
  <si>
    <t>Global Bond Index Fund - EUR Hedged Acc (VANGEHI)</t>
  </si>
  <si>
    <t>IE00B18GC888</t>
  </si>
  <si>
    <t>Bloomberg Global Aggregate Float Adjusted and Scaled Index in EUR</t>
  </si>
  <si>
    <t>https://www.finect.com/fondos-inversion/IE00B18GC888-Vanguard_global_bd_idx_eur_h_acc</t>
  </si>
  <si>
    <t>Man Funds plc - Man Global Investment Grade Opportunities I H EUR</t>
  </si>
  <si>
    <t>IE000VA5W9H0</t>
  </si>
  <si>
    <t>Man Funds plc - Man Dynamic Income D H EUR</t>
  </si>
  <si>
    <t>IE00008TZ2E8</t>
  </si>
  <si>
    <t>RF Flexible Global-USD Cubierto</t>
  </si>
  <si>
    <t>https://www.finect.com/fondos-inversion/IE000E4XZ7U3-Man_glg_dynamic_income_i_h_eur_cap</t>
  </si>
  <si>
    <t>EL BANQUERO DEL PUEBLO</t>
  </si>
  <si>
    <t>Man Funds plc - Man Euro Corporate Bond D EUR</t>
  </si>
  <si>
    <t>IE000JM1MJ59</t>
  </si>
  <si>
    <t>ICE BofA Euro Corporate TR EUR</t>
  </si>
  <si>
    <t>https://www.finect.com/fondos-inversion/IE000JM1MJ59-Man_glg_euro_corporate_bond_d_eur_acc</t>
  </si>
  <si>
    <t>RF Deuda Corporativa EUR</t>
  </si>
  <si>
    <t>Buy &amp; Hold Luxembourg B&amp;H Bond Class 1</t>
  </si>
  <si>
    <t>LU1988110927</t>
  </si>
  <si>
    <t>0.56%+3%</t>
  </si>
  <si>
    <t>BBgBarc Euro AGG Corporate</t>
  </si>
  <si>
    <t>https://www.finect.com/fondos-inversion/LU1988110927-Buy__hold_luxembourg_bh_bond_class_1</t>
  </si>
  <si>
    <t>Aegon High Yield Global Bond Fund A Acc EUR (Hedged)</t>
  </si>
  <si>
    <t>IE00B296X584</t>
  </si>
  <si>
    <t>RF Bonos Alto Rendimiento Global</t>
  </si>
  <si>
    <t>https://www.finect.com/fondos-inversion/IE00B296X584-Aegon_high_yield_global_bd_a_acc_eur_hdg</t>
  </si>
  <si>
    <t>Aegon Strategic Global Bond Fund A Acc EUR (Hedged)</t>
  </si>
  <si>
    <t>IE00B296YK09</t>
  </si>
  <si>
    <t>https://www.finect.com/fondos-inversion/IE00B296YK09-Aegon_strategic_global_bd_a_acc_eur_hdg</t>
  </si>
  <si>
    <t>M&amp;G Total Return Credit Investment Fund P EUR Acc</t>
  </si>
  <si>
    <t>LU2482630675</t>
  </si>
  <si>
    <t>https://www.finect.com/fondos-inversion/LU2482630675-Mg_total_return_crdt_invmt_p_eur_acc</t>
  </si>
  <si>
    <t>LU0895902640 (clase limpia)</t>
  </si>
  <si>
    <t>Lazard Credit Opportunities</t>
  </si>
  <si>
    <t>FR0010235507</t>
  </si>
  <si>
    <t>€STR capitalisé + 2%</t>
  </si>
  <si>
    <t>https://www.finect.com/fondos-inversion/FR0010235507-Lazard_credit_opportunities_pc_eur</t>
  </si>
  <si>
    <t>Vontobel Fund - Global High Yield Bond B EUR</t>
  </si>
  <si>
    <t>LU0571066462</t>
  </si>
  <si>
    <t>1.1%+10%</t>
  </si>
  <si>
    <t>https://www.finect.com/fondos-inversion/LU0571066462-Vontobel_global_high_yld_bd_b_eur</t>
  </si>
  <si>
    <t>Vontobel Fund Credit Opportunities HI (hedged) EUR Cap</t>
  </si>
  <si>
    <t>LU2416422751</t>
  </si>
  <si>
    <t>https://www.finect.com/fondos-inversion/LU2416422751-Vontobel_credit_opps_hi_hdg_eur_cap</t>
  </si>
  <si>
    <t>RENTA FIJA LARGO PLAZO</t>
  </si>
  <si>
    <t>20+ Year Euro Treasury Index Fund - Euro Shares (VGYETII)</t>
  </si>
  <si>
    <t>IE00B246KL88</t>
  </si>
  <si>
    <t>Alto</t>
  </si>
  <si>
    <t>Bloomberg Euro Treasury 20+ Year Bond Index</t>
  </si>
  <si>
    <t>https://www.finect.com/fondos-inversion/IE00B246KL88-Vanguard_20_yr__trs_idx__acc</t>
  </si>
  <si>
    <t>RENTA VARIABLE</t>
  </si>
  <si>
    <t>Vanguard Global Stock Index Fund EUR Acc</t>
  </si>
  <si>
    <t>MSCI World</t>
  </si>
  <si>
    <t>https://www.finect.com/fondos-inversion/IE00B03HD191-Vanguard_glb_stk_idx__acc</t>
  </si>
  <si>
    <t>iShares Developed World Index (IE) D Acc EUR</t>
  </si>
  <si>
    <t>0,12%</t>
  </si>
  <si>
    <t>https://www.finect.com/fondos-inversion/IE00BD0NCM55-Ishares_dev_wld_idx_ie_d_acc_eur</t>
  </si>
  <si>
    <t>Fidelity MSCI World Index Fund</t>
  </si>
  <si>
    <t>IE00BYX5NX33</t>
  </si>
  <si>
    <t>https://www.finect.com/fondos-inversion/IE00BYX5NX33-Fidelity_msci_world_index_eur_p_acc</t>
  </si>
  <si>
    <t>Vanguard U.S. 500 Stock Index Fund EUR Acc</t>
  </si>
  <si>
    <t>IE0032126645</t>
  </si>
  <si>
    <t>RV USA Cap. Grande Blend</t>
  </si>
  <si>
    <t>https://www.finect.com/fondos-inversion/IE0032126645-Vanguard_us_500_stk_idx__acc</t>
  </si>
  <si>
    <t>Vanguard Emerging Markets Stock Index Fund EUR Acc</t>
  </si>
  <si>
    <t>MSCI Emerging Markets</t>
  </si>
  <si>
    <t>https://www.finect.com/fondos-inversion/IE0031786696-Vanguard_em_mkts_stk_idx__acc</t>
  </si>
  <si>
    <t>DNB Fund - Technology A EUR (Acc)</t>
  </si>
  <si>
    <t>LU0302296495</t>
  </si>
  <si>
    <t>MSCI World Com Serv &amp; Info Tech</t>
  </si>
  <si>
    <t>https://www.finect.com/fondos-inversion/LU0302296495-Dnb_fund_technology_retail_a</t>
  </si>
  <si>
    <t>Fidelity Funds - Global Technology Fund A-Acc-EUR</t>
  </si>
  <si>
    <t>LU1213836080</t>
  </si>
  <si>
    <t>MSCI ACWI/Information Technology NR USD</t>
  </si>
  <si>
    <t>https://www.finect.com/fondos-inversion/LU1213836080-Fidelity_global_technology_aacceur</t>
  </si>
  <si>
    <t>Fidelity Funds - Global Equity Income Fund A-ACC-Euro</t>
  </si>
  <si>
    <t>LU2813189938</t>
  </si>
  <si>
    <t>MSCI WORLD</t>
  </si>
  <si>
    <t>https://www.fondosfidelity.es/funds/factsheet/LU2813189938</t>
  </si>
  <si>
    <t>Fondo value de Fidelity</t>
  </si>
  <si>
    <t>Guinness Global Equity Income D EUR Accumulation</t>
  </si>
  <si>
    <t>IE00BDGV0290</t>
  </si>
  <si>
    <t>MSCI World NR USD</t>
  </si>
  <si>
    <t>https://www.finect.com/fondos-inversion/IE00BDGV0290-Guinness_global_equity_income_d_eur_acc</t>
  </si>
  <si>
    <t>Renta global de alto dividendo. Maximo drawdown en 2022</t>
  </si>
  <si>
    <t>GQG Partners Global Equity Fund Class A Euro Accumulating</t>
  </si>
  <si>
    <t>IE00BH481053</t>
  </si>
  <si>
    <t>MSCI ACWI NR USD</t>
  </si>
  <si>
    <t>https://www.finect.com/fondos-inversion/IE00BH481053-Gqg_partners_global_equity_a_eur_acc</t>
  </si>
  <si>
    <t>Pictet-China Index P EUR</t>
  </si>
  <si>
    <t>LU0625737910</t>
  </si>
  <si>
    <t>MSCI China NR USD</t>
  </si>
  <si>
    <t>https://www.finect.com/fondos-inversion/LU0625737910-Pictetchina_index_p_eur</t>
  </si>
  <si>
    <t>Year max drawdown=2022</t>
  </si>
  <si>
    <t>Jupiter India Select Class L EUR Acc</t>
  </si>
  <si>
    <t>LU0329070915</t>
  </si>
  <si>
    <t>MSCI India GR USD</t>
  </si>
  <si>
    <t>https://www.finect.com/fondos-inversion/LU0329070915-Jupiter_india_select_l_eur_acc</t>
  </si>
  <si>
    <t>Year max drawdown=2018</t>
  </si>
  <si>
    <t>Vanguard Global Small-Cap Index Fund EUR Acc</t>
  </si>
  <si>
    <t>https://www.finect.com/fondos-inversion/IE00B42W4L06-Vanguard_glb_smallcp_idx__acc</t>
  </si>
  <si>
    <t>VALUE INVESTING</t>
  </si>
  <si>
    <t>Berkshire Hathaway</t>
  </si>
  <si>
    <t>US0846707026</t>
  </si>
  <si>
    <t>Cobas Internacional FI</t>
  </si>
  <si>
    <t>LU1598719752</t>
  </si>
  <si>
    <t>RV Global Cap. Pequeña</t>
  </si>
  <si>
    <t>https://www.finect.com/fondos-inversion/LU1598719752-Cobas_international_p_acc_eur</t>
  </si>
  <si>
    <t>Cobas Large Cap</t>
  </si>
  <si>
    <t>LU1598720172</t>
  </si>
  <si>
    <t>RV Global Cap. Flexible</t>
  </si>
  <si>
    <t>https://www.finect.com/fondos-inversion/LU1598720172-Cobas_large_cap_p_acc_eur</t>
  </si>
  <si>
    <t>Hamco Global Value Fund R FI</t>
  </si>
  <si>
    <t>ES0141116030</t>
  </si>
  <si>
    <t>1.35%+9%</t>
  </si>
  <si>
    <t>https://www.finect.com/fondos-inversion/ES0141116030-Hamco_global_value_fund_r_fi</t>
  </si>
  <si>
    <t>Heptagon Fund ICAV - Kopernik Global All-Cap Equity Fund AE EUR Acc</t>
  </si>
  <si>
    <t>IE00BH6XSF26</t>
  </si>
  <si>
    <t>https://www.finect.com/fondos-inversion/IE00BH6XSF26-Heptagon_kopernik_glb_allcp_eq_ae__acc</t>
  </si>
  <si>
    <t>Azvalor Internacional FI</t>
  </si>
  <si>
    <t>ES0112611001</t>
  </si>
  <si>
    <t>https://www.finect.com/fondos-inversion/ES0112611001-Azvalor_internacional_fi</t>
  </si>
  <si>
    <t>Horos Value Internacional FI</t>
  </si>
  <si>
    <t>ES0146309002</t>
  </si>
  <si>
    <t>https://www.finect.com/fondos-inversion/ES0146309002-Horos_value_internacional_fi</t>
  </si>
  <si>
    <t>Janus Henderson Horizon Global Smaller Companies Fund A2 EUR</t>
  </si>
  <si>
    <t>LU1984712320</t>
  </si>
  <si>
    <t>1.2% + 10%</t>
  </si>
  <si>
    <t>MSCI World Small Cap NR USD</t>
  </si>
  <si>
    <t>https://www.finect.com/fondos-inversion/LU1984712320-Janus_henderson_hrzn_glb_sc_a2_eur_acc</t>
  </si>
  <si>
    <t>Myinvestor Value C FI</t>
  </si>
  <si>
    <t>ES0165243025</t>
  </si>
  <si>
    <t>MSCI World NR EUR</t>
  </si>
  <si>
    <t>https://www.finect.com/fondos-inversion/ES0165243025-Myinvestor_value_c_fi</t>
  </si>
  <si>
    <t>Renta Variable Europea Small Cap; Year max drawdown=2024</t>
  </si>
  <si>
    <t>EverCapital Investments UCITS</t>
  </si>
  <si>
    <t>LU1953238794</t>
  </si>
  <si>
    <t>1,6%+4.2%</t>
  </si>
  <si>
    <t>Mixtos Flexibles EUR - Global</t>
  </si>
  <si>
    <t>https://www.finect.com/fondos-inversion/LU1953238794-Ec_sicav_evercapital_invms_ucits_i_rtl</t>
  </si>
  <si>
    <t>Year max drawdown=2020</t>
  </si>
  <si>
    <t>Avantage Fund FI</t>
  </si>
  <si>
    <t>ES0112231008</t>
  </si>
  <si>
    <t>0,94%+0.1%</t>
  </si>
  <si>
    <t>https://www.finect.com/fondos-inversion/ES0112231008-Avantage_fund_a_fi</t>
  </si>
  <si>
    <t>ALTERNATIVOS MULTIESTRATEGIA</t>
  </si>
  <si>
    <t>Dunas Valor Prudente FI</t>
  </si>
  <si>
    <t>ES0175437005</t>
  </si>
  <si>
    <t>0.85%+9%</t>
  </si>
  <si>
    <t>Alt - Multiestrategia</t>
  </si>
  <si>
    <t>http://finect.com/fondos-inversion/ES0175437005-Dunas_valor_prudente_r_fi</t>
  </si>
  <si>
    <t>Dunas Valor Equilibrado R FI</t>
  </si>
  <si>
    <t>ES0175414012</t>
  </si>
  <si>
    <t>Euribor 12m+200pb</t>
  </si>
  <si>
    <t>https://www.finect.com/fondos-inversion/ES0175414012-Dunas_valor_equilibrado_r_fi</t>
  </si>
  <si>
    <t>Dunas Valor Flexible R FI</t>
  </si>
  <si>
    <t>ES0175316019</t>
  </si>
  <si>
    <t>Euribor 12m + 350pb</t>
  </si>
  <si>
    <t>https://www.finect.com/fondos-inversion/ES0175316019-Dunas_valor_flexible_r_fi</t>
  </si>
  <si>
    <t>DNCA Invest Alpha Bonds A EUR</t>
  </si>
  <si>
    <t>LU1694789451</t>
  </si>
  <si>
    <t>1.4% +20%</t>
  </si>
  <si>
    <t>ESTR +2%</t>
  </si>
  <si>
    <t>https://www.finect.com/fondos-inversion/LU1694789451-Dnca_invest_alpha_bonds_a_eur</t>
  </si>
  <si>
    <t>Sale a cuenta si estas más de 6 meses y tienes una inversión inicial minima de 2500</t>
  </si>
  <si>
    <t>DNCA Invest Alpha Bonds B EUR</t>
  </si>
  <si>
    <t>LU1694789535</t>
  </si>
  <si>
    <t>https://www.finect.com/fondos-inversion/LU1694789535-Dnca_invest_alpha_bonds_b_eur</t>
  </si>
  <si>
    <t>Acacia Renta Dinámica FI</t>
  </si>
  <si>
    <t>ES0157935000</t>
  </si>
  <si>
    <t>Mixtos Flexibles EUR</t>
  </si>
  <si>
    <t>https://www.finect.com/fondos-inversion/ES0157935000-Acacia_renta_dinamica_fi</t>
  </si>
  <si>
    <t>Helium Fund - Helium Selection</t>
  </si>
  <si>
    <t>LU1112771768</t>
  </si>
  <si>
    <t>1% + 15%</t>
  </si>
  <si>
    <t>Hedge fund</t>
  </si>
  <si>
    <t>https://www.finect.com/fondos-inversion/LU1112771768-Helium_fund_selection_seur</t>
  </si>
  <si>
    <t>JupiterMerian Global Equity Absolute Return Fund L (EUR) Hedged Acc</t>
  </si>
  <si>
    <t>IE00BLP5S460</t>
  </si>
  <si>
    <t>1.56% + 20%</t>
  </si>
  <si>
    <t>Equity Market Neutral USD / SARON ( Swiss Average Rate Overnight)</t>
  </si>
  <si>
    <t>Openbank/Myinvestor</t>
  </si>
  <si>
    <t>https://www.finect.com/fondos-inversion/IE00BLP5S460-Jupitermerian_glb_eq_absrt_l__h_acc</t>
  </si>
  <si>
    <t>BlackRock Systematic Asia Pacific Equity Absolute Return Fd D2 EUR Hedged</t>
  </si>
  <si>
    <t>LU1593227850</t>
  </si>
  <si>
    <t>1.45% + 20%</t>
  </si>
  <si>
    <t>SOFR 3 month USD</t>
  </si>
  <si>
    <t>NA</t>
  </si>
  <si>
    <t>https://www.finect.com/fondos-inversion/LU1593227850-Bsf_asia_pacific_divers_eq_ar_d2_eur_h</t>
  </si>
  <si>
    <t>Year max drawdown=2019</t>
  </si>
  <si>
    <t>Fidelity Funds - Absolute Return Global Equity Fund Y-PF-Acc-Euro hedged</t>
  </si>
  <si>
    <t>LU2210152745</t>
  </si>
  <si>
    <t>0,750%+15%</t>
  </si>
  <si>
    <t>Secured Overnight Financing Rate(SOFR)</t>
  </si>
  <si>
    <t>https://www.finect.com/fondos-inversion/LU2210152745-Fidelity_abs_ret_glb_eq_ypfacceur_h</t>
  </si>
  <si>
    <t>AXA World Funds - Euro Credit Total Return A Capitalisation EUR</t>
  </si>
  <si>
    <t>LU1164219682</t>
  </si>
  <si>
    <t>https://www.finect.com/fondos-inversion/LU1164219682-Axawf_euro_credit_total_ret_a_cap_eur</t>
  </si>
  <si>
    <t>GAM Star Fund plc - GAM Star Cat Bond Class Ordinary EUR Accumulation Hedged</t>
  </si>
  <si>
    <t>IE00B3Q8M574</t>
  </si>
  <si>
    <t>https://www.finect.com/fondos-inversion/IE00B3Q8M574-Gam_star_cat_bond_ord_eur_acc</t>
  </si>
  <si>
    <t>Penta Inversión FI</t>
  </si>
  <si>
    <t>ES0168997015</t>
  </si>
  <si>
    <t>https://www.finect.com/fondos-inversion/ES0168997015-Penta_inversion_b_fi</t>
  </si>
  <si>
    <t>SCOR Senior Euro Loans</t>
  </si>
  <si>
    <t>FR0011042134</t>
  </si>
  <si>
    <t>https://www.finect.com/fondos-inversion/FR0011042134-Scor_sustainable_euro_loans_c_eur</t>
  </si>
  <si>
    <t>ORO, BITCOIN, LEVERAGED</t>
  </si>
  <si>
    <t>Fidelity Physical Bitcoin ETP</t>
  </si>
  <si>
    <t>XS2434891219</t>
  </si>
  <si>
    <t>Bitcoin</t>
  </si>
  <si>
    <t>https://www.justetf.com/en/etf-profile.html?isin=XS2434891219#overview</t>
  </si>
  <si>
    <t>WisdomTree Physical Bitcoin</t>
  </si>
  <si>
    <t>GB00BJYDH287</t>
  </si>
  <si>
    <t>https://www.finect.com/etfs/GB00BJYDH287-Wisdomtree_bitcoin_etc</t>
  </si>
  <si>
    <t>WisdomTree Physical Crypto Market</t>
  </si>
  <si>
    <t>GB00BMTP1626</t>
  </si>
  <si>
    <t>https://www.finect.com/etfs/GB00BMTP1626-Wisdomtree_crypto_market</t>
  </si>
  <si>
    <t>WisdomTree Physical Crypto Altcoins</t>
  </si>
  <si>
    <t>GB00BMTP1519</t>
  </si>
  <si>
    <t>https://www.finect.com/etfs/GB00BMTP1519-Wisdomtree_crypto_altcoins</t>
  </si>
  <si>
    <t>Xtrackers S&amp;P 500 2x Leveraged Daily Swap UCITS ETF 1C</t>
  </si>
  <si>
    <t>LU0411078552</t>
  </si>
  <si>
    <t>S&amp;P 500 2x</t>
  </si>
  <si>
    <t>https://etf.dws.com/es-es/LU0411078552-s-p-500-2x-leveraged-daily-swap-ucits-etf-1c/</t>
  </si>
  <si>
    <t>SP500 x3</t>
  </si>
  <si>
    <t>XS2472197149</t>
  </si>
  <si>
    <t>https://www.finect.com/etfs/XS2472197149-Leverage_shares_3x_long_us_500_etp_scs</t>
  </si>
  <si>
    <r>
      <rPr>
        <sz val="9"/>
        <color rgb="FF000000"/>
        <rFont val="Calibri"/>
      </rPr>
      <t xml:space="preserve">WisdomTree S&amp;P 500 3x Daily </t>
    </r>
    <r>
      <rPr>
        <sz val="9"/>
        <color rgb="FFFF0000"/>
        <rFont val="Calibri"/>
      </rPr>
      <t>Short</t>
    </r>
  </si>
  <si>
    <t>IE00B8K7KM88</t>
  </si>
  <si>
    <t>https://www.finect.com/etfs/IE00B8K7KM88-Wisdomtree_sp_500_3x_daily_short</t>
  </si>
  <si>
    <t>FTSE All-World UCITS ETF - (USD) Accumulating (VWCE)</t>
  </si>
  <si>
    <t>IE00BK5BQT80</t>
  </si>
  <si>
    <t>FTSE All-World Index</t>
  </si>
  <si>
    <t>https://www.nl.vanguard/professional/product/etf/equity/9679/ftse-all-world-ucits-etf-usd-accumulating</t>
  </si>
  <si>
    <t>iShares Physical Gold ETC</t>
  </si>
  <si>
    <t>IE00B4ND3602</t>
  </si>
  <si>
    <t>Gold</t>
  </si>
  <si>
    <t>https://www.finect.com/etfs/IE00B4ND3602-Ishares_physical_gold_etc</t>
  </si>
  <si>
    <t>MONTEARIOS &amp; CASH</t>
  </si>
  <si>
    <t>ORO</t>
  </si>
  <si>
    <t>TOTAL</t>
  </si>
  <si>
    <t>nombre_fondo</t>
  </si>
  <si>
    <t>isin</t>
  </si>
  <si>
    <t>Cartera_1</t>
  </si>
  <si>
    <t>Cartera_2</t>
  </si>
  <si>
    <t>Cartera_3</t>
  </si>
  <si>
    <t>Cartera_4</t>
  </si>
  <si>
    <t>Cartera_5</t>
  </si>
  <si>
    <t>IE00B03HD191</t>
  </si>
  <si>
    <t>IE00BD0NCM55</t>
  </si>
  <si>
    <t>IE0031786696</t>
  </si>
  <si>
    <t>IE00B42W4L06</t>
  </si>
  <si>
    <t>http://www.finect.com/fondos-inversion/ES0175437005-Dunas_valor_prudente_r_fi</t>
  </si>
  <si>
    <t>links</t>
  </si>
  <si>
    <t>LU1112771503</t>
  </si>
  <si>
    <t>https://www.finect.com/fondos-inversion/LU1112771503-Helium_fund_selection_beur</t>
  </si>
  <si>
    <t>categoria</t>
  </si>
  <si>
    <t>Monetarios</t>
  </si>
  <si>
    <t>Renta fija corto plazo</t>
  </si>
  <si>
    <t>Renta Fija medio plazo</t>
  </si>
  <si>
    <t>Renta fija largo plazo</t>
  </si>
  <si>
    <t>Renta variable</t>
  </si>
  <si>
    <t>Alternativos</t>
  </si>
  <si>
    <t>LU3038481936</t>
  </si>
  <si>
    <t>https://www.finect.com/fondos-inversion/LU3038481936-Hamco_global_value_r_eur_acc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</si>
</sst>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0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9"/>
      <color rgb="FFFFFFFF"/>
      <name val="Calibri"/>
    </font>
    <font>
      <b/>
      <sz val="9"/>
      <color theme="0"/>
      <name val="Calibri"/>
    </font>
    <font>
      <sz val="10"/>
      <color rgb="FF000000"/>
      <name val="Calibri"/>
    </font>
    <font>
      <sz val="10"/>
      <color theme="1"/>
      <name val="Calibri"/>
      <scheme val="minor"/>
    </font>
    <font>
      <sz val="9"/>
      <color rgb="FF000000"/>
      <name val="Calibri"/>
    </font>
    <font>
      <sz val="9"/>
      <color theme="1"/>
      <name val="Calibri"/>
    </font>
    <font>
      <u/>
      <sz val="9"/>
      <color rgb="FF0000FF"/>
      <name val="Calibri"/>
    </font>
    <font>
      <u/>
      <sz val="9"/>
      <color rgb="FF000000"/>
      <name val="Calibri"/>
    </font>
    <font>
      <sz val="9"/>
      <color rgb="FFCC0000"/>
      <name val="Calibri"/>
    </font>
    <font>
      <sz val="9"/>
      <color rgb="FF1C4587"/>
      <name val="Calibri"/>
    </font>
    <font>
      <sz val="9"/>
      <color rgb="FFFF0000"/>
      <name val="Calibri"/>
    </font>
    <font>
      <sz val="11"/>
      <color rgb="FF000000"/>
      <name val="Calibri"/>
    </font>
    <font>
      <sz val="11"/>
      <color rgb="FFFFFFFF"/>
      <name val="Calibri"/>
    </font>
    <font>
      <b/>
      <sz val="10"/>
      <color rgb="FFFFFFFF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sz val="8"/>
      <name val="Calibri"/>
      <scheme val="minor"/>
    </font>
    <font>
      <u/>
      <sz val="11"/>
      <color theme="1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  <fill>
      <patternFill patternType="solid">
        <fgColor rgb="FFE2EFD9"/>
        <bgColor rgb="FFE2EFD9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7F6000"/>
        <bgColor rgb="FF7F6000"/>
      </patternFill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2" fontId="1" fillId="0" borderId="0" xfId="0" applyNumberFormat="1" applyFont="1"/>
    <xf numFmtId="4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4" fontId="6" fillId="3" borderId="0" xfId="0" applyNumberFormat="1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10" fontId="6" fillId="4" borderId="0" xfId="0" applyNumberFormat="1" applyFont="1" applyFill="1" applyAlignment="1">
      <alignment horizontal="center" vertical="center"/>
    </xf>
    <xf numFmtId="0" fontId="5" fillId="5" borderId="0" xfId="0" applyFont="1" applyFill="1"/>
    <xf numFmtId="0" fontId="6" fillId="4" borderId="0" xfId="0" applyFont="1" applyFill="1" applyAlignment="1">
      <alignment horizontal="center" vertical="center"/>
    </xf>
    <xf numFmtId="0" fontId="4" fillId="5" borderId="0" xfId="0" applyFont="1" applyFill="1"/>
    <xf numFmtId="0" fontId="10" fillId="3" borderId="0" xfId="0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left" vertical="center"/>
    </xf>
    <xf numFmtId="0" fontId="4" fillId="6" borderId="0" xfId="0" applyFont="1" applyFill="1"/>
    <xf numFmtId="10" fontId="9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10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4" fillId="0" borderId="0" xfId="0" applyNumberFormat="1" applyFont="1"/>
    <xf numFmtId="10" fontId="4" fillId="0" borderId="0" xfId="0" applyNumberFormat="1" applyFont="1"/>
    <xf numFmtId="4" fontId="14" fillId="7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4" fontId="14" fillId="8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6" fillId="0" borderId="0" xfId="0" applyFont="1"/>
    <xf numFmtId="3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3F17-4E16-B703-EEF38977998C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3F17-4E16-B703-EEF38977998C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3F17-4E16-B703-EEF38977998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3F17-4E16-B703-EEF38977998C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3F17-4E16-B703-EEF38977998C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3F17-4E16-B703-EEF38977998C}"/>
              </c:ext>
            </c:extLst>
          </c:dPt>
          <c:dPt>
            <c:idx val="6"/>
            <c:bubble3D val="0"/>
            <c:spPr>
              <a:solidFill>
                <a:srgbClr val="7C9CD6"/>
              </a:solidFill>
            </c:spPr>
            <c:extLst>
              <c:ext xmlns:c16="http://schemas.microsoft.com/office/drawing/2014/chart" uri="{C3380CC4-5D6E-409C-BE32-E72D297353CC}">
                <c16:uniqueId val="{0000000D-3F17-4E16-B703-EEF38977998C}"/>
              </c:ext>
            </c:extLst>
          </c:dPt>
          <c:cat>
            <c:strRef>
              <c:f>INDEX!$A$105:$A$111</c:f>
              <c:strCache>
                <c:ptCount val="7"/>
                <c:pt idx="0">
                  <c:v>MONTEARIOS &amp; CASH</c:v>
                </c:pt>
                <c:pt idx="1">
                  <c:v>RENTA FIJA CORTO PLAZO</c:v>
                </c:pt>
                <c:pt idx="2">
                  <c:v>RENTA FIJA MEDIO PLAZO</c:v>
                </c:pt>
                <c:pt idx="3">
                  <c:v>RENTA FIJA LARGO PLAZO</c:v>
                </c:pt>
                <c:pt idx="4">
                  <c:v>RENTA VARIABLE</c:v>
                </c:pt>
                <c:pt idx="5">
                  <c:v>ALTERNATIVOS MULTIESTRATEGIA</c:v>
                </c:pt>
                <c:pt idx="6">
                  <c:v>ORO</c:v>
                </c:pt>
              </c:strCache>
            </c:strRef>
          </c:cat>
          <c:val>
            <c:numRef>
              <c:f>INDEX!$B$105:$B$111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F17-4E16-B703-EEF38977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BD27-4577-974A-5FF9D7A2787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BD27-4577-974A-5FF9D7A27877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BD27-4577-974A-5FF9D7A2787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BD27-4577-974A-5FF9D7A27877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BD27-4577-974A-5FF9D7A27877}"/>
              </c:ext>
            </c:extLst>
          </c:dPt>
          <c:cat>
            <c:strRef>
              <c:f>INDEX!$A$114:$A$118</c:f>
              <c:strCache>
                <c:ptCount val="5"/>
                <c:pt idx="0">
                  <c:v>Bajo</c:v>
                </c:pt>
                <c:pt idx="1">
                  <c:v>Medio_Bajo</c:v>
                </c:pt>
                <c:pt idx="2">
                  <c:v>Medio</c:v>
                </c:pt>
                <c:pt idx="3">
                  <c:v>Medio_Alto</c:v>
                </c:pt>
                <c:pt idx="4">
                  <c:v>Alto</c:v>
                </c:pt>
              </c:strCache>
            </c:strRef>
          </c:cat>
          <c:val>
            <c:numRef>
              <c:f>INDEX!$B$114:$B$118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27-4577-974A-5FF9D7A27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219075</xdr:colOff>
      <xdr:row>102</xdr:row>
      <xdr:rowOff>57150</xdr:rowOff>
    </xdr:from>
    <xdr:ext cx="6076950" cy="2857500"/>
    <xdr:graphicFrame macro="">
      <xdr:nvGraphicFramePr>
        <xdr:cNvPr id="2" name="Chart 5" title="Chart">
          <a:extLst>
            <a:ext uri="{FF2B5EF4-FFF2-40B4-BE49-F238E27FC236}">
              <a16:creationId xmlns:a16="http://schemas.microsoft.com/office/drawing/2014/main" id="{8D5A256A-C27B-4DAA-BC99-9A677439C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85725</xdr:colOff>
      <xdr:row>117</xdr:row>
      <xdr:rowOff>161925</xdr:rowOff>
    </xdr:from>
    <xdr:ext cx="6076950" cy="2857500"/>
    <xdr:graphicFrame macro="">
      <xdr:nvGraphicFramePr>
        <xdr:cNvPr id="3" name="Chart 6" title="Chart">
          <a:extLst>
            <a:ext uri="{FF2B5EF4-FFF2-40B4-BE49-F238E27FC236}">
              <a16:creationId xmlns:a16="http://schemas.microsoft.com/office/drawing/2014/main" id="{706F1D25-2F56-4893-A334-D5BA16C90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inect.com/fondos-inversion/ES0140794001-Gamma_global_fi" TargetMode="External"/><Relationship Id="rId21" Type="http://schemas.openxmlformats.org/officeDocument/2006/relationships/hyperlink" Target="https://www.finect.com/fondos-inversion/FR0010149120-Carmignac_securite_aw_eur_acc" TargetMode="External"/><Relationship Id="rId42" Type="http://schemas.openxmlformats.org/officeDocument/2006/relationships/hyperlink" Target="https://www.finect.com/fondos-inversion/LU2416422751-Vontobel_credit_opps_hi_hdg_eur_cap" TargetMode="External"/><Relationship Id="rId47" Type="http://schemas.openxmlformats.org/officeDocument/2006/relationships/hyperlink" Target="https://www.finect.com/fondos-inversion/IE0032126645-Vanguard_us_500_stk_idx__acc" TargetMode="External"/><Relationship Id="rId63" Type="http://schemas.openxmlformats.org/officeDocument/2006/relationships/hyperlink" Target="https://www.finect.com/fondos-inversion/LU1984712320-Janus_henderson_hrzn_glb_sc_a2_eur_acc" TargetMode="External"/><Relationship Id="rId68" Type="http://schemas.openxmlformats.org/officeDocument/2006/relationships/hyperlink" Target="https://www.finect.com/fondos-inversion/ES0175414012-Dunas_valor_equilibrado_r_fi" TargetMode="External"/><Relationship Id="rId84" Type="http://schemas.openxmlformats.org/officeDocument/2006/relationships/hyperlink" Target="https://etf.dws.com/es-es/LU0411078552-s-p-500-2x-leveraged-daily-swap-ucits-etf-1c/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https://www.finect.com/fondos-inversion/FR0000027609-Lazard_euro_short_duration_sri_ic" TargetMode="External"/><Relationship Id="rId11" Type="http://schemas.openxmlformats.org/officeDocument/2006/relationships/hyperlink" Target="https://www.finect.com/fondos-inversion/ES0112618006-Bh_deuda_fi" TargetMode="External"/><Relationship Id="rId32" Type="http://schemas.openxmlformats.org/officeDocument/2006/relationships/hyperlink" Target="https://www.finect.com/fondos-inversion/IE0007471471-Vanguard_us_govt_bd_idx__h_acc" TargetMode="External"/><Relationship Id="rId37" Type="http://schemas.openxmlformats.org/officeDocument/2006/relationships/hyperlink" Target="https://www.finect.com/fondos-inversion/IE00B296X584-Aegon_high_yield_global_bd_a_acc_eur_hdg" TargetMode="External"/><Relationship Id="rId53" Type="http://schemas.openxmlformats.org/officeDocument/2006/relationships/hyperlink" Target="https://www.finect.com/fondos-inversion/IE00BH481053-Gqg_partners_global_equity_a_eur_acc" TargetMode="External"/><Relationship Id="rId58" Type="http://schemas.openxmlformats.org/officeDocument/2006/relationships/hyperlink" Target="https://www.finect.com/fondos-inversion/LU1598720172-Cobas_large_cap_p_acc_eur" TargetMode="External"/><Relationship Id="rId74" Type="http://schemas.openxmlformats.org/officeDocument/2006/relationships/hyperlink" Target="https://www.finect.com/fondos-inversion/IE00BLP5S460-Jupitermerian_glb_eq_absrt_l__h_acc" TargetMode="External"/><Relationship Id="rId79" Type="http://schemas.openxmlformats.org/officeDocument/2006/relationships/hyperlink" Target="https://www.finect.com/fondos-inversion/FR0011042134-Scor_sustainable_euro_loans_c_eur" TargetMode="External"/><Relationship Id="rId5" Type="http://schemas.openxmlformats.org/officeDocument/2006/relationships/hyperlink" Target="https://www.finect.com/fondos-inversion/LU0083138064-Bnp_paribas_euro_money_market_c_cap" TargetMode="External"/><Relationship Id="rId90" Type="http://schemas.openxmlformats.org/officeDocument/2006/relationships/drawing" Target="../drawings/drawing1.xml"/><Relationship Id="rId14" Type="http://schemas.openxmlformats.org/officeDocument/2006/relationships/hyperlink" Target="https://www.finect.com/fondos-inversion/IE00BD2B9710-Twelve_cat_bond_p_eur_acc" TargetMode="External"/><Relationship Id="rId22" Type="http://schemas.openxmlformats.org/officeDocument/2006/relationships/hyperlink" Target="https://www.finect.com/fondos-inversion/IE00BH65QP47-Vanguard_glb_st_bd_idx__h_acc" TargetMode="External"/><Relationship Id="rId27" Type="http://schemas.openxmlformats.org/officeDocument/2006/relationships/hyperlink" Target="https://www.finect.com/fondos-inversion/LU1623762843-Carmignac_pf_credit_a_eur_acc" TargetMode="External"/><Relationship Id="rId30" Type="http://schemas.openxmlformats.org/officeDocument/2006/relationships/hyperlink" Target="https://www.finect.com/fondos-inversion/LU1670722161-Mg_lux_glb_fl_rt_hy_a_h_eur_acc" TargetMode="External"/><Relationship Id="rId35" Type="http://schemas.openxmlformats.org/officeDocument/2006/relationships/hyperlink" Target="https://www.finect.com/fondos-inversion/IE000JM1MJ59-Man_glg_euro_corporate_bond_d_eur_acc" TargetMode="External"/><Relationship Id="rId43" Type="http://schemas.openxmlformats.org/officeDocument/2006/relationships/hyperlink" Target="https://www.finect.com/fondos-inversion/IE00B246KL88-Vanguard_20_yr__trs_idx__acc" TargetMode="External"/><Relationship Id="rId48" Type="http://schemas.openxmlformats.org/officeDocument/2006/relationships/hyperlink" Target="https://www.finect.com/fondos-inversion/IE0031786696-Vanguard_em_mkts_stk_idx__acc" TargetMode="External"/><Relationship Id="rId56" Type="http://schemas.openxmlformats.org/officeDocument/2006/relationships/hyperlink" Target="https://www.finect.com/fondos-inversion/IE00B42W4L06-Vanguard_glb_smallcp_idx__acc" TargetMode="External"/><Relationship Id="rId64" Type="http://schemas.openxmlformats.org/officeDocument/2006/relationships/hyperlink" Target="https://www.finect.com/fondos-inversion/ES0165243025-Myinvestor_value_c_fi" TargetMode="External"/><Relationship Id="rId69" Type="http://schemas.openxmlformats.org/officeDocument/2006/relationships/hyperlink" Target="https://www.finect.com/fondos-inversion/ES0175316019-Dunas_valor_flexible_r_fi" TargetMode="External"/><Relationship Id="rId77" Type="http://schemas.openxmlformats.org/officeDocument/2006/relationships/hyperlink" Target="https://www.finect.com/fondos-inversion/LU1164219682-Axawf_euro_credit_total_ret_a_cap_eur" TargetMode="External"/><Relationship Id="rId8" Type="http://schemas.openxmlformats.org/officeDocument/2006/relationships/hyperlink" Target="https://www.finect.com/fondos-inversion/IE00BG226Z29-Aegon_european_abs_a_eur_acc" TargetMode="External"/><Relationship Id="rId51" Type="http://schemas.openxmlformats.org/officeDocument/2006/relationships/hyperlink" Target="https://www.fondosfidelity.es/funds/factsheet/LU2813189938" TargetMode="External"/><Relationship Id="rId72" Type="http://schemas.openxmlformats.org/officeDocument/2006/relationships/hyperlink" Target="https://www.finect.com/fondos-inversion/ES0157935000-Acacia_renta_dinamica_fi" TargetMode="External"/><Relationship Id="rId80" Type="http://schemas.openxmlformats.org/officeDocument/2006/relationships/hyperlink" Target="https://www.justetf.com/en/etf-profile.html?isin=XS2434891219" TargetMode="External"/><Relationship Id="rId85" Type="http://schemas.openxmlformats.org/officeDocument/2006/relationships/hyperlink" Target="https://www.finect.com/etfs/XS2472197149-Leverage_shares_3x_long_us_500_etp_scs" TargetMode="External"/><Relationship Id="rId3" Type="http://schemas.openxmlformats.org/officeDocument/2006/relationships/hyperlink" Target="https://www.finect.com/fondos-inversion/FR0000991390-La_francaise_tresorerie_isr_r" TargetMode="External"/><Relationship Id="rId12" Type="http://schemas.openxmlformats.org/officeDocument/2006/relationships/hyperlink" Target="https://www.finect.com/fondos-inversion/LU2023201044-Pareto_nordic_cross_credit_h_i_eur" TargetMode="External"/><Relationship Id="rId17" Type="http://schemas.openxmlformats.org/officeDocument/2006/relationships/hyperlink" Target="https://www.finect.com/fondos-inversion/LU1694212348-Nordea_1__low_dur_eurp_cov_bd_bp_eur" TargetMode="External"/><Relationship Id="rId25" Type="http://schemas.openxmlformats.org/officeDocument/2006/relationships/hyperlink" Target="https://www.finect.com/fondos-inversion/LU0840158819-Storm_bond_rc_eur" TargetMode="External"/><Relationship Id="rId33" Type="http://schemas.openxmlformats.org/officeDocument/2006/relationships/hyperlink" Target="https://www.finect.com/fondos-inversion/IE00B18GC888-Vanguard_global_bd_idx_eur_h_acc" TargetMode="External"/><Relationship Id="rId38" Type="http://schemas.openxmlformats.org/officeDocument/2006/relationships/hyperlink" Target="https://www.finect.com/fondos-inversion/IE00B296YK09-Aegon_strategic_global_bd_a_acc_eur_hdg" TargetMode="External"/><Relationship Id="rId46" Type="http://schemas.openxmlformats.org/officeDocument/2006/relationships/hyperlink" Target="https://www.finect.com/fondos-inversion/IE00BYX5NX33-Fidelity_msci_world_index_eur_p_acc" TargetMode="External"/><Relationship Id="rId59" Type="http://schemas.openxmlformats.org/officeDocument/2006/relationships/hyperlink" Target="https://www.finect.com/fondos-inversion/ES0141116030-Hamco_global_value_fund_r_fi" TargetMode="External"/><Relationship Id="rId67" Type="http://schemas.openxmlformats.org/officeDocument/2006/relationships/hyperlink" Target="http://finect.com/fondos-inversion/ES0175437005-Dunas_valor_prudente_r_fi" TargetMode="External"/><Relationship Id="rId20" Type="http://schemas.openxmlformats.org/officeDocument/2006/relationships/hyperlink" Target="https://www.finect.com/fondos-inversion/FI0008800511-Evli_short_corporate_bond_b" TargetMode="External"/><Relationship Id="rId41" Type="http://schemas.openxmlformats.org/officeDocument/2006/relationships/hyperlink" Target="https://www.finect.com/fondos-inversion/LU0571066462-Vontobel_global_high_yld_bd_b_eur" TargetMode="External"/><Relationship Id="rId54" Type="http://schemas.openxmlformats.org/officeDocument/2006/relationships/hyperlink" Target="https://www.finect.com/fondos-inversion/LU0625737910-Pictetchina_index_p_eur" TargetMode="External"/><Relationship Id="rId62" Type="http://schemas.openxmlformats.org/officeDocument/2006/relationships/hyperlink" Target="https://www.finect.com/fondos-inversion/ES0146309002-Horos_value_internacional_fi" TargetMode="External"/><Relationship Id="rId70" Type="http://schemas.openxmlformats.org/officeDocument/2006/relationships/hyperlink" Target="https://www.finect.com/fondos-inversion/LU1694789451-Dnca_invest_alpha_bonds_a_eur" TargetMode="External"/><Relationship Id="rId75" Type="http://schemas.openxmlformats.org/officeDocument/2006/relationships/hyperlink" Target="https://www.finect.com/fondos-inversion/LU1593227850-Bsf_asia_pacific_divers_eq_ar_d2_eur_h" TargetMode="External"/><Relationship Id="rId83" Type="http://schemas.openxmlformats.org/officeDocument/2006/relationships/hyperlink" Target="https://www.finect.com/etfs/GB00BMTP1519-Wisdomtree_crypto_altcoins" TargetMode="External"/><Relationship Id="rId88" Type="http://schemas.openxmlformats.org/officeDocument/2006/relationships/hyperlink" Target="https://www.finect.com/etfs/IE00B4ND3602-Ishares_physical_gold_etc" TargetMode="External"/><Relationship Id="rId1" Type="http://schemas.openxmlformats.org/officeDocument/2006/relationships/hyperlink" Target="https://www.finect.com/fondos-inversion/FR0000447823-Axa_tresor_court_terme_c" TargetMode="External"/><Relationship Id="rId6" Type="http://schemas.openxmlformats.org/officeDocument/2006/relationships/hyperlink" Target="https://www.finect.com/fondos-inversion/LU0366536711-Pictetsovereign_shortterm_mm_eur_p" TargetMode="External"/><Relationship Id="rId15" Type="http://schemas.openxmlformats.org/officeDocument/2006/relationships/hyperlink" Target="https://www.finect.com/fondos-inversion/ES0124880032-Cs_renta_fija_05_b_fi" TargetMode="External"/><Relationship Id="rId23" Type="http://schemas.openxmlformats.org/officeDocument/2006/relationships/hyperlink" Target="https://www.finect.com/fondos-inversion/IE00BDFB7290-Vanguard_glb_st_corp_bd_idx__h_acc" TargetMode="External"/><Relationship Id="rId28" Type="http://schemas.openxmlformats.org/officeDocument/2006/relationships/hyperlink" Target="https://www.finect.com/fondos-inversion/LU0942882589-Sigma_inv_house_fcp_brightg_glb_inc_a_i" TargetMode="External"/><Relationship Id="rId36" Type="http://schemas.openxmlformats.org/officeDocument/2006/relationships/hyperlink" Target="https://www.finect.com/fondos-inversion/LU1988110927-Buy__hold_luxembourg_bh_bond_class_1" TargetMode="External"/><Relationship Id="rId49" Type="http://schemas.openxmlformats.org/officeDocument/2006/relationships/hyperlink" Target="https://www.finect.com/fondos-inversion/LU0302296495-Dnb_fund_technology_retail_a" TargetMode="External"/><Relationship Id="rId57" Type="http://schemas.openxmlformats.org/officeDocument/2006/relationships/hyperlink" Target="https://www.finect.com/fondos-inversion/LU1598719752-Cobas_international_p_acc_eur" TargetMode="External"/><Relationship Id="rId10" Type="http://schemas.openxmlformats.org/officeDocument/2006/relationships/hyperlink" Target="https://www.finect.com/fondos-inversion/IE00BFZMJT78-Neuberger_berman_ultr_st_er_bd_eur_iacc" TargetMode="External"/><Relationship Id="rId31" Type="http://schemas.openxmlformats.org/officeDocument/2006/relationships/hyperlink" Target="https://www.finect.com/fondos-inversion/IE00B67T5G21-Ishares_euro_invgrdcorpbdidxieinstacc" TargetMode="External"/><Relationship Id="rId44" Type="http://schemas.openxmlformats.org/officeDocument/2006/relationships/hyperlink" Target="https://www.finect.com/fondos-inversion/IE00B03HD191-Vanguard_glb_stk_idx__acc" TargetMode="External"/><Relationship Id="rId52" Type="http://schemas.openxmlformats.org/officeDocument/2006/relationships/hyperlink" Target="https://www.finect.com/fondos-inversion/IE00BDGV0290-Guinness_global_equity_income_d_eur_acc" TargetMode="External"/><Relationship Id="rId60" Type="http://schemas.openxmlformats.org/officeDocument/2006/relationships/hyperlink" Target="https://www.finect.com/fondos-inversion/IE00BH6XSF26-Heptagon_kopernik_glb_allcp_eq_ae__acc" TargetMode="External"/><Relationship Id="rId65" Type="http://schemas.openxmlformats.org/officeDocument/2006/relationships/hyperlink" Target="https://www.finect.com/fondos-inversion/LU1953238794-Ec_sicav_evercapital_invms_ucits_i_rtl" TargetMode="External"/><Relationship Id="rId73" Type="http://schemas.openxmlformats.org/officeDocument/2006/relationships/hyperlink" Target="https://www.finect.com/fondos-inversion/LU1112771768-Helium_fund_selection_seur" TargetMode="External"/><Relationship Id="rId78" Type="http://schemas.openxmlformats.org/officeDocument/2006/relationships/hyperlink" Target="https://www.finect.com/fondos-inversion/ES0168997015-Penta_inversion_b_fi" TargetMode="External"/><Relationship Id="rId81" Type="http://schemas.openxmlformats.org/officeDocument/2006/relationships/hyperlink" Target="https://www.finect.com/etfs/GB00BJYDH287-Wisdomtree_bitcoin_etc" TargetMode="External"/><Relationship Id="rId86" Type="http://schemas.openxmlformats.org/officeDocument/2006/relationships/hyperlink" Target="https://www.finect.com/etfs/IE00B8K7KM88-Wisdomtree_sp_500_3x_daily_short" TargetMode="External"/><Relationship Id="rId4" Type="http://schemas.openxmlformats.org/officeDocument/2006/relationships/hyperlink" Target="https://www.finect.com/fondos-inversion/FR0010288316-Groupama_entreprises_n" TargetMode="External"/><Relationship Id="rId9" Type="http://schemas.openxmlformats.org/officeDocument/2006/relationships/hyperlink" Target="https://www.finect.com/fondos-inversion/FI0008811997-Evli_nordic_corporate_bond_b" TargetMode="External"/><Relationship Id="rId13" Type="http://schemas.openxmlformats.org/officeDocument/2006/relationships/hyperlink" Target="https://www.finect.com/fondos-inversion/LU1706854152-Amundi_sf_diversified_st_bd_a_eur_nd" TargetMode="External"/><Relationship Id="rId18" Type="http://schemas.openxmlformats.org/officeDocument/2006/relationships/hyperlink" Target="https://www.finect.com/fondos-inversion/LU1670718219-Mg_lux_short_dtd_corp_bd_a_eur_acc" TargetMode="External"/><Relationship Id="rId39" Type="http://schemas.openxmlformats.org/officeDocument/2006/relationships/hyperlink" Target="https://www.finect.com/fondos-inversion/LU2482630675-Mg_total_return_crdt_invmt_p_eur_acc" TargetMode="External"/><Relationship Id="rId34" Type="http://schemas.openxmlformats.org/officeDocument/2006/relationships/hyperlink" Target="https://www.finect.com/fondos-inversion/IE000E4XZ7U3-Man_glg_dynamic_income_i_h_eur_cap" TargetMode="External"/><Relationship Id="rId50" Type="http://schemas.openxmlformats.org/officeDocument/2006/relationships/hyperlink" Target="https://www.finect.com/fondos-inversion/LU1213836080-Fidelity_global_technology_aacceur" TargetMode="External"/><Relationship Id="rId55" Type="http://schemas.openxmlformats.org/officeDocument/2006/relationships/hyperlink" Target="https://www.finect.com/fondos-inversion/LU0329070915-Jupiter_india_select_l_eur_acc" TargetMode="External"/><Relationship Id="rId76" Type="http://schemas.openxmlformats.org/officeDocument/2006/relationships/hyperlink" Target="https://www.finect.com/fondos-inversion/LU2210152745-Fidelity_abs_ret_glb_eq_ypfacceur_h" TargetMode="External"/><Relationship Id="rId7" Type="http://schemas.openxmlformats.org/officeDocument/2006/relationships/hyperlink" Target="https://www.finect.com/fondos-inversion/LU0034353002-Dws_floating_rate_notes_lc" TargetMode="External"/><Relationship Id="rId71" Type="http://schemas.openxmlformats.org/officeDocument/2006/relationships/hyperlink" Target="https://www.finect.com/fondos-inversion/LU1694789535-Dnca_invest_alpha_bonds_b_eur" TargetMode="External"/><Relationship Id="rId2" Type="http://schemas.openxmlformats.org/officeDocument/2006/relationships/hyperlink" Target="https://www.finect.com/fondos-inversion/FR0000989626-Groupama_tresorerie_ic" TargetMode="External"/><Relationship Id="rId29" Type="http://schemas.openxmlformats.org/officeDocument/2006/relationships/hyperlink" Target="https://www.finect.com/fondos-inversion/IE00BDTYYP61-Man_glg_hi_yld_opps_d_eur_acc" TargetMode="External"/><Relationship Id="rId24" Type="http://schemas.openxmlformats.org/officeDocument/2006/relationships/hyperlink" Target="https://www.finect.com/fondos-inversion/ES0140072028-Abaco_renta_fija_mixta_global_c_fi" TargetMode="External"/><Relationship Id="rId40" Type="http://schemas.openxmlformats.org/officeDocument/2006/relationships/hyperlink" Target="https://www.finect.com/fondos-inversion/FR0010235507-Lazard_credit_opportunities_pc_eur" TargetMode="External"/><Relationship Id="rId45" Type="http://schemas.openxmlformats.org/officeDocument/2006/relationships/hyperlink" Target="https://www.finect.com/fondos-inversion/IE00BD0NCM55-Ishares_dev_wld_idx_ie_d_acc_eur" TargetMode="External"/><Relationship Id="rId66" Type="http://schemas.openxmlformats.org/officeDocument/2006/relationships/hyperlink" Target="https://www.finect.com/fondos-inversion/ES0112231008-Avantage_fund_a_fi" TargetMode="External"/><Relationship Id="rId87" Type="http://schemas.openxmlformats.org/officeDocument/2006/relationships/hyperlink" Target="https://www.nl.vanguard/professional/product/etf/equity/9679/ftse-all-world-ucits-etf-usd-accumulating" TargetMode="External"/><Relationship Id="rId61" Type="http://schemas.openxmlformats.org/officeDocument/2006/relationships/hyperlink" Target="https://www.finect.com/fondos-inversion/ES0112611001-Azvalor_internacional_fi" TargetMode="External"/><Relationship Id="rId82" Type="http://schemas.openxmlformats.org/officeDocument/2006/relationships/hyperlink" Target="https://www.finect.com/etfs/GB00BMTP1626-Wisdomtree_crypto_market" TargetMode="External"/><Relationship Id="rId19" Type="http://schemas.openxmlformats.org/officeDocument/2006/relationships/hyperlink" Target="https://www.finect.com/fondos-inversion/IE00BZ005D22-Aegon_european_abs_b_eur_ac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inect.com/fondos-inversion/ES0175437005-Dunas_valor_prudente_r_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4CCA-639F-4A34-8B7D-380ACBC5FE5E}">
  <sheetPr>
    <outlinePr summaryBelow="0" summaryRight="0"/>
  </sheetPr>
  <dimension ref="A1:AO1090"/>
  <sheetViews>
    <sheetView workbookViewId="0">
      <pane xSplit="1" ySplit="2" topLeftCell="B63" activePane="bottomRight" state="frozen"/>
      <selection pane="topRight" activeCell="B1" sqref="B1"/>
      <selection pane="bottomLeft" activeCell="A3" sqref="A3"/>
      <selection pane="bottomRight" activeCell="D3" sqref="D3"/>
    </sheetView>
  </sheetViews>
  <sheetFormatPr baseColWidth="10" defaultColWidth="14.42578125" defaultRowHeight="15" customHeight="1"/>
  <cols>
    <col min="1" max="1" width="59.5703125" customWidth="1"/>
    <col min="2" max="2" width="14.7109375" customWidth="1"/>
    <col min="3" max="4" width="9.5703125" customWidth="1"/>
    <col min="5" max="7" width="10" customWidth="1"/>
    <col min="8" max="8" width="10.140625" customWidth="1"/>
    <col min="9" max="9" width="65" customWidth="1"/>
    <col min="10" max="10" width="16.85546875" customWidth="1"/>
    <col min="11" max="11" width="11.85546875" customWidth="1"/>
    <col min="12" max="12" width="10.28515625" customWidth="1"/>
    <col min="13" max="13" width="8.28515625" customWidth="1"/>
    <col min="14" max="14" width="7.7109375" customWidth="1"/>
    <col min="15" max="15" width="12.5703125" customWidth="1"/>
    <col min="16" max="17" width="10.28515625" customWidth="1"/>
    <col min="18" max="19" width="12.42578125" customWidth="1"/>
    <col min="20" max="20" width="15.5703125" customWidth="1"/>
    <col min="21" max="21" width="39" customWidth="1"/>
    <col min="22" max="22" width="24.85546875" customWidth="1"/>
    <col min="23" max="23" width="22.5703125" customWidth="1"/>
    <col min="24" max="24" width="29.140625" customWidth="1"/>
    <col min="25" max="25" width="12.5703125" customWidth="1"/>
    <col min="26" max="26" width="15.28515625" customWidth="1"/>
    <col min="27" max="41" width="12.5703125" customWidth="1"/>
  </cols>
  <sheetData>
    <row r="1" spans="1:41" ht="15.75" customHeight="1">
      <c r="A1" s="1"/>
      <c r="B1" s="2"/>
      <c r="C1" s="1"/>
      <c r="D1" s="1"/>
      <c r="E1" s="2"/>
      <c r="F1" s="2"/>
      <c r="G1" s="1">
        <v>16</v>
      </c>
      <c r="H1" s="2"/>
      <c r="I1" s="2"/>
      <c r="J1" s="1"/>
      <c r="K1" s="3"/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12</v>
      </c>
      <c r="S1" s="1">
        <v>15</v>
      </c>
      <c r="T1" s="1"/>
      <c r="U1" s="3"/>
      <c r="V1" s="4"/>
      <c r="W1" s="5"/>
      <c r="X1" s="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15.75" customHeight="1">
      <c r="A2" s="1" t="s">
        <v>0</v>
      </c>
      <c r="B2" s="2" t="s">
        <v>1</v>
      </c>
      <c r="C2" s="1" t="s">
        <v>2</v>
      </c>
      <c r="D2" s="7" t="e">
        <f>SUM(D3:D10)</f>
        <v>#REF!</v>
      </c>
      <c r="E2" s="2"/>
      <c r="F2" s="2"/>
      <c r="G2" s="1" t="s">
        <v>3</v>
      </c>
      <c r="H2" s="2" t="s">
        <v>4</v>
      </c>
      <c r="I2" s="2" t="s">
        <v>5</v>
      </c>
      <c r="J2" s="1" t="s">
        <v>6</v>
      </c>
      <c r="K2" s="3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3" t="s">
        <v>17</v>
      </c>
      <c r="V2" s="8" t="s">
        <v>18</v>
      </c>
      <c r="W2" s="9" t="s">
        <v>19</v>
      </c>
      <c r="X2" s="10" t="s">
        <v>20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15.75" customHeight="1">
      <c r="A3" s="11" t="s">
        <v>21</v>
      </c>
      <c r="B3" s="11"/>
      <c r="C3" s="12" t="s">
        <v>22</v>
      </c>
      <c r="D3" s="12" t="e">
        <f>#REF!+#REF!</f>
        <v>#REF!</v>
      </c>
      <c r="E3" s="11"/>
      <c r="F3" s="11"/>
      <c r="G3" s="12"/>
      <c r="H3" s="13"/>
      <c r="I3" s="11"/>
      <c r="J3" s="11"/>
      <c r="K3" s="14"/>
      <c r="L3" s="12"/>
      <c r="M3" s="12"/>
      <c r="N3" s="12"/>
      <c r="O3" s="12"/>
      <c r="P3" s="12"/>
      <c r="Q3" s="12"/>
      <c r="R3" s="12"/>
      <c r="S3" s="12"/>
      <c r="T3" s="13"/>
      <c r="U3" s="15"/>
      <c r="V3" s="5">
        <v>0</v>
      </c>
      <c r="W3" s="5">
        <v>0</v>
      </c>
      <c r="X3" s="6" t="e">
        <f>(1+(V3/100))*D3</f>
        <v>#REF!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15.75" customHeight="1">
      <c r="A4" s="11" t="s">
        <v>23</v>
      </c>
      <c r="B4" s="11" t="s">
        <v>24</v>
      </c>
      <c r="C4" s="12" t="s">
        <v>22</v>
      </c>
      <c r="D4" s="12"/>
      <c r="E4" s="11"/>
      <c r="F4" s="11"/>
      <c r="G4" s="12" t="e">
        <f>SUBSTITUTE(VLOOKUP($B4,#REF!,G$1,FALSE),",", ".")</f>
        <v>#REF!</v>
      </c>
      <c r="H4" s="13">
        <v>5.0000000000000001E-4</v>
      </c>
      <c r="I4" s="11" t="s">
        <v>25</v>
      </c>
      <c r="J4" s="11" t="s">
        <v>26</v>
      </c>
      <c r="K4" s="16" t="s">
        <v>27</v>
      </c>
      <c r="L4" s="12" t="e">
        <f>VLOOKUP($B4,#REF!,L$1,FALSE)</f>
        <v>#REF!</v>
      </c>
      <c r="M4" s="12" t="e">
        <f>VLOOKUP($B4,#REF!,M$1,FALSE)</f>
        <v>#REF!</v>
      </c>
      <c r="N4" s="12" t="e">
        <f>VLOOKUP($B4,#REF!,N$1,FALSE)</f>
        <v>#REF!</v>
      </c>
      <c r="O4" s="12" t="e">
        <f>VLOOKUP($B4,#REF!,O$1,FALSE)</f>
        <v>#REF!</v>
      </c>
      <c r="P4" s="12" t="e">
        <f>VLOOKUP($B4,#REF!,P$1,FALSE)</f>
        <v>#REF!</v>
      </c>
      <c r="Q4" s="12" t="e">
        <f>VLOOKUP($B4,#REF!,Q$1,FALSE)</f>
        <v>#REF!</v>
      </c>
      <c r="R4" s="12" t="e">
        <f>VLOOKUP($B4,#REF!,R$1,FALSE)</f>
        <v>#REF!</v>
      </c>
      <c r="S4" s="12" t="e">
        <f>VLOOKUP($B4,#REF!,S$1,FALSE)</f>
        <v>#REF!</v>
      </c>
      <c r="T4" s="13">
        <v>-6.0000000000000001E-3</v>
      </c>
      <c r="U4" s="15" t="s">
        <v>28</v>
      </c>
      <c r="V4" s="5"/>
      <c r="W4" s="5"/>
      <c r="X4" s="6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15.75" customHeight="1">
      <c r="A5" s="11" t="s">
        <v>29</v>
      </c>
      <c r="B5" s="11" t="s">
        <v>30</v>
      </c>
      <c r="C5" s="12" t="s">
        <v>22</v>
      </c>
      <c r="D5" s="12"/>
      <c r="E5" s="11"/>
      <c r="F5" s="11"/>
      <c r="G5" s="12" t="e">
        <f>SUBSTITUTE(VLOOKUP($B5,#REF!,G$1,FALSE),",", ".")</f>
        <v>#REF!</v>
      </c>
      <c r="H5" s="13">
        <v>3.0000000000000001E-3</v>
      </c>
      <c r="I5" s="11" t="s">
        <v>25</v>
      </c>
      <c r="J5" s="11" t="s">
        <v>26</v>
      </c>
      <c r="K5" s="17" t="s">
        <v>31</v>
      </c>
      <c r="L5" s="12" t="e">
        <f>VLOOKUP($B5,#REF!,L$1,FALSE)</f>
        <v>#REF!</v>
      </c>
      <c r="M5" s="12" t="e">
        <f>VLOOKUP($B5,#REF!,M$1,FALSE)</f>
        <v>#REF!</v>
      </c>
      <c r="N5" s="12" t="e">
        <f>VLOOKUP($B5,#REF!,N$1,FALSE)</f>
        <v>#REF!</v>
      </c>
      <c r="O5" s="12" t="e">
        <f>VLOOKUP($B5,#REF!,O$1,FALSE)</f>
        <v>#REF!</v>
      </c>
      <c r="P5" s="12" t="e">
        <f>VLOOKUP($B5,#REF!,P$1,FALSE)</f>
        <v>#REF!</v>
      </c>
      <c r="Q5" s="12" t="e">
        <f>VLOOKUP($B5,#REF!,Q$1,FALSE)</f>
        <v>#REF!</v>
      </c>
      <c r="R5" s="12" t="e">
        <f>VLOOKUP($B5,#REF!,R$1,FALSE)</f>
        <v>#REF!</v>
      </c>
      <c r="S5" s="12" t="e">
        <f>VLOOKUP($B5,#REF!,S$1,FALSE)</f>
        <v>#REF!</v>
      </c>
      <c r="T5" s="13">
        <v>-4.7999999999999996E-3</v>
      </c>
      <c r="U5" s="15" t="s">
        <v>28</v>
      </c>
      <c r="V5" s="5"/>
      <c r="W5" s="5"/>
      <c r="X5" s="6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ht="15.75" customHeight="1">
      <c r="A6" s="13" t="s">
        <v>32</v>
      </c>
      <c r="B6" s="11" t="s">
        <v>33</v>
      </c>
      <c r="C6" s="12" t="s">
        <v>22</v>
      </c>
      <c r="D6" s="12"/>
      <c r="E6" s="11"/>
      <c r="F6" s="11"/>
      <c r="G6" s="12" t="e">
        <f>SUBSTITUTE(VLOOKUP($B6,#REF!,G$1,FALSE),",", ".")</f>
        <v>#REF!</v>
      </c>
      <c r="H6" s="13">
        <v>2.7799999999999999E-3</v>
      </c>
      <c r="I6" s="11" t="s">
        <v>25</v>
      </c>
      <c r="J6" s="11" t="s">
        <v>34</v>
      </c>
      <c r="K6" s="17" t="s">
        <v>35</v>
      </c>
      <c r="L6" s="12" t="e">
        <f>VLOOKUP($B6,#REF!,L$1,FALSE)</f>
        <v>#REF!</v>
      </c>
      <c r="M6" s="12" t="e">
        <f>VLOOKUP($B6,#REF!,M$1,FALSE)</f>
        <v>#REF!</v>
      </c>
      <c r="N6" s="12" t="e">
        <f>VLOOKUP($B6,#REF!,N$1,FALSE)</f>
        <v>#REF!</v>
      </c>
      <c r="O6" s="12" t="e">
        <f>VLOOKUP($B6,#REF!,O$1,FALSE)</f>
        <v>#REF!</v>
      </c>
      <c r="P6" s="12" t="e">
        <f>VLOOKUP($B6,#REF!,P$1,FALSE)</f>
        <v>#REF!</v>
      </c>
      <c r="Q6" s="12" t="e">
        <f>VLOOKUP($B6,#REF!,Q$1,FALSE)</f>
        <v>#REF!</v>
      </c>
      <c r="R6" s="12" t="e">
        <f>VLOOKUP($B6,#REF!,R$1,FALSE)</f>
        <v>#REF!</v>
      </c>
      <c r="S6" s="12" t="e">
        <f>VLOOKUP($B6,#REF!,S$1,FALSE)</f>
        <v>#REF!</v>
      </c>
      <c r="T6" s="13">
        <v>-5.4000000000000003E-3</v>
      </c>
      <c r="U6" s="15" t="s">
        <v>28</v>
      </c>
      <c r="V6" s="5"/>
      <c r="W6" s="5"/>
      <c r="X6" s="6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ht="15.75" customHeight="1">
      <c r="A7" s="13" t="s">
        <v>36</v>
      </c>
      <c r="B7" s="11" t="s">
        <v>37</v>
      </c>
      <c r="C7" s="12" t="s">
        <v>22</v>
      </c>
      <c r="D7" s="12"/>
      <c r="E7" s="11"/>
      <c r="F7" s="11"/>
      <c r="G7" s="12" t="e">
        <f>SUBSTITUTE(VLOOKUP($B7,#REF!,G$1,FALSE),",", ".")</f>
        <v>#REF!</v>
      </c>
      <c r="H7" s="13">
        <v>3.0000000000000001E-3</v>
      </c>
      <c r="I7" s="11" t="s">
        <v>25</v>
      </c>
      <c r="J7" s="11" t="s">
        <v>38</v>
      </c>
      <c r="K7" s="17" t="s">
        <v>39</v>
      </c>
      <c r="L7" s="12" t="e">
        <f>VLOOKUP($B7,#REF!,L$1,FALSE)</f>
        <v>#REF!</v>
      </c>
      <c r="M7" s="12" t="e">
        <f>VLOOKUP($B7,#REF!,M$1,FALSE)</f>
        <v>#REF!</v>
      </c>
      <c r="N7" s="12" t="e">
        <f>VLOOKUP($B7,#REF!,N$1,FALSE)</f>
        <v>#REF!</v>
      </c>
      <c r="O7" s="12" t="e">
        <f>VLOOKUP($B7,#REF!,O$1,FALSE)</f>
        <v>#REF!</v>
      </c>
      <c r="P7" s="12" t="e">
        <f>VLOOKUP($B7,#REF!,P$1,FALSE)</f>
        <v>#REF!</v>
      </c>
      <c r="Q7" s="12" t="e">
        <f>VLOOKUP($B7,#REF!,Q$1,FALSE)</f>
        <v>#REF!</v>
      </c>
      <c r="R7" s="12" t="e">
        <f>VLOOKUP($B7,#REF!,R$1,FALSE)</f>
        <v>#REF!</v>
      </c>
      <c r="S7" s="12" t="e">
        <f>VLOOKUP($B7,#REF!,S$1,FALSE)</f>
        <v>#REF!</v>
      </c>
      <c r="T7" s="13">
        <v>-5.5999999999999999E-3</v>
      </c>
      <c r="U7" s="15" t="s">
        <v>28</v>
      </c>
      <c r="V7" s="5"/>
      <c r="W7" s="5"/>
      <c r="X7" s="6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ht="15.75" customHeight="1">
      <c r="A8" s="13" t="s">
        <v>40</v>
      </c>
      <c r="B8" s="11" t="s">
        <v>41</v>
      </c>
      <c r="C8" s="12" t="s">
        <v>22</v>
      </c>
      <c r="D8" s="12"/>
      <c r="E8" s="11"/>
      <c r="F8" s="11"/>
      <c r="G8" s="12" t="e">
        <f>SUBSTITUTE(VLOOKUP($B8,#REF!,G$1,FALSE),",", ".")</f>
        <v>#REF!</v>
      </c>
      <c r="H8" s="13">
        <v>5.0000000000000001E-3</v>
      </c>
      <c r="I8" s="11" t="s">
        <v>25</v>
      </c>
      <c r="J8" s="11" t="s">
        <v>38</v>
      </c>
      <c r="K8" s="17" t="s">
        <v>42</v>
      </c>
      <c r="L8" s="12" t="e">
        <f>VLOOKUP($B8,#REF!,L$1,FALSE)</f>
        <v>#REF!</v>
      </c>
      <c r="M8" s="12" t="e">
        <f>VLOOKUP($B8,#REF!,M$1,FALSE)</f>
        <v>#REF!</v>
      </c>
      <c r="N8" s="12" t="e">
        <f>VLOOKUP($B8,#REF!,N$1,FALSE)</f>
        <v>#REF!</v>
      </c>
      <c r="O8" s="12" t="e">
        <f>VLOOKUP($B8,#REF!,O$1,FALSE)</f>
        <v>#REF!</v>
      </c>
      <c r="P8" s="12" t="e">
        <f>VLOOKUP($B8,#REF!,P$1,FALSE)</f>
        <v>#REF!</v>
      </c>
      <c r="Q8" s="12" t="e">
        <f>VLOOKUP($B8,#REF!,Q$1,FALSE)</f>
        <v>#REF!</v>
      </c>
      <c r="R8" s="12" t="e">
        <f>VLOOKUP($B8,#REF!,R$1,FALSE)</f>
        <v>#REF!</v>
      </c>
      <c r="S8" s="12" t="e">
        <f>VLOOKUP($B8,#REF!,S$1,FALSE)</f>
        <v>#REF!</v>
      </c>
      <c r="T8" s="13">
        <v>-6.1999999999999998E-3</v>
      </c>
      <c r="U8" s="15" t="s">
        <v>43</v>
      </c>
      <c r="V8" s="5"/>
      <c r="W8" s="5"/>
      <c r="X8" s="6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ht="15.75" customHeight="1">
      <c r="A9" s="13" t="s">
        <v>44</v>
      </c>
      <c r="B9" s="11" t="s">
        <v>45</v>
      </c>
      <c r="C9" s="12" t="s">
        <v>22</v>
      </c>
      <c r="D9" s="12"/>
      <c r="E9" s="11"/>
      <c r="F9" s="11"/>
      <c r="G9" s="12" t="e">
        <f>SUBSTITUTE(VLOOKUP($B9,#REF!,G$1,FALSE),",", ".")</f>
        <v>#REF!</v>
      </c>
      <c r="H9" s="13">
        <v>1.8E-3</v>
      </c>
      <c r="I9" s="11" t="s">
        <v>25</v>
      </c>
      <c r="J9" s="11" t="s">
        <v>38</v>
      </c>
      <c r="K9" s="17" t="s">
        <v>46</v>
      </c>
      <c r="L9" s="12" t="e">
        <f>VLOOKUP($B9,#REF!,L$1,FALSE)</f>
        <v>#REF!</v>
      </c>
      <c r="M9" s="12" t="e">
        <f>VLOOKUP($B9,#REF!,M$1,FALSE)</f>
        <v>#REF!</v>
      </c>
      <c r="N9" s="12" t="e">
        <f>VLOOKUP($B9,#REF!,N$1,FALSE)</f>
        <v>#REF!</v>
      </c>
      <c r="O9" s="12" t="e">
        <f>VLOOKUP($B9,#REF!,O$1,FALSE)</f>
        <v>#REF!</v>
      </c>
      <c r="P9" s="12" t="e">
        <f>VLOOKUP($B9,#REF!,P$1,FALSE)</f>
        <v>#REF!</v>
      </c>
      <c r="Q9" s="12" t="e">
        <f>VLOOKUP($B9,#REF!,Q$1,FALSE)</f>
        <v>#REF!</v>
      </c>
      <c r="R9" s="12" t="e">
        <f>VLOOKUP($B9,#REF!,R$1,FALSE)</f>
        <v>#REF!</v>
      </c>
      <c r="S9" s="12" t="e">
        <f>VLOOKUP($B9,#REF!,S$1,FALSE)</f>
        <v>#REF!</v>
      </c>
      <c r="T9" s="13">
        <v>-7.1999999999999998E-3</v>
      </c>
      <c r="U9" s="15" t="s">
        <v>28</v>
      </c>
      <c r="V9" s="5"/>
      <c r="W9" s="5"/>
      <c r="X9" s="6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ht="15.75" customHeight="1">
      <c r="A10" s="18" t="s">
        <v>47</v>
      </c>
      <c r="B10" s="11" t="s">
        <v>48</v>
      </c>
      <c r="C10" s="12" t="s">
        <v>22</v>
      </c>
      <c r="D10" s="12" t="e">
        <f>G10*E10</f>
        <v>#REF!</v>
      </c>
      <c r="E10" s="11">
        <v>68.925600000000003</v>
      </c>
      <c r="F10" s="11"/>
      <c r="G10" s="12" t="e">
        <f>SUBSTITUTE(VLOOKUP($B10,#REF!,G$1,FALSE),",", ".")</f>
        <v>#REF!</v>
      </c>
      <c r="H10" s="13">
        <v>6.0000000000000001E-3</v>
      </c>
      <c r="I10" s="11" t="s">
        <v>49</v>
      </c>
      <c r="J10" s="11" t="s">
        <v>34</v>
      </c>
      <c r="K10" s="17" t="s">
        <v>50</v>
      </c>
      <c r="L10" s="12" t="e">
        <f>VLOOKUP($B10,#REF!,L$1,FALSE)</f>
        <v>#REF!</v>
      </c>
      <c r="M10" s="12" t="e">
        <f>VLOOKUP($B10,#REF!,M$1,FALSE)</f>
        <v>#REF!</v>
      </c>
      <c r="N10" s="12" t="e">
        <f>VLOOKUP($B10,#REF!,N$1,FALSE)</f>
        <v>#REF!</v>
      </c>
      <c r="O10" s="12" t="e">
        <f>VLOOKUP($B10,#REF!,O$1,FALSE)</f>
        <v>#REF!</v>
      </c>
      <c r="P10" s="12" t="e">
        <f>VLOOKUP($B10,#REF!,P$1,FALSE)</f>
        <v>#REF!</v>
      </c>
      <c r="Q10" s="12" t="e">
        <f>VLOOKUP($B10,#REF!,Q$1,FALSE)</f>
        <v>#REF!</v>
      </c>
      <c r="R10" s="12" t="e">
        <f>VLOOKUP($B10,#REF!,R$1,FALSE)</f>
        <v>#REF!</v>
      </c>
      <c r="S10" s="12" t="e">
        <f>VLOOKUP($B10,#REF!,S$1,FALSE)</f>
        <v>#REF!</v>
      </c>
      <c r="T10" s="13">
        <v>-1.3599999999999999E-2</v>
      </c>
      <c r="U10" s="15" t="s">
        <v>51</v>
      </c>
      <c r="V10" s="19">
        <v>-3.76</v>
      </c>
      <c r="W10" s="5">
        <v>-1.4</v>
      </c>
      <c r="X10" s="6" t="e">
        <f>(1+(V10/100))*D10</f>
        <v>#REF!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ht="15.75" customHeight="1">
      <c r="A11" s="1" t="s">
        <v>52</v>
      </c>
      <c r="B11" s="1"/>
      <c r="C11" s="1"/>
      <c r="D11" s="7" t="e">
        <f>SUM(D12:D27)</f>
        <v>#REF!</v>
      </c>
      <c r="E11" s="1"/>
      <c r="F11" s="1"/>
      <c r="G11" s="1"/>
      <c r="H11" s="1"/>
      <c r="I11" s="1"/>
      <c r="J11" s="1"/>
      <c r="K11" s="3"/>
      <c r="L11" s="1"/>
      <c r="M11" s="1"/>
      <c r="N11" s="1"/>
      <c r="O11" s="1"/>
      <c r="P11" s="1"/>
      <c r="Q11" s="1"/>
      <c r="R11" s="1"/>
      <c r="S11" s="1"/>
      <c r="T11" s="1"/>
      <c r="U11" s="3"/>
      <c r="V11" s="5"/>
      <c r="W11" s="5"/>
      <c r="X11" s="6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ht="15.75" customHeight="1">
      <c r="A12" s="20" t="s">
        <v>53</v>
      </c>
      <c r="B12" s="11" t="s">
        <v>54</v>
      </c>
      <c r="C12" s="12" t="s">
        <v>55</v>
      </c>
      <c r="D12" s="12" t="e">
        <f t="shared" ref="D12:D15" si="0">E12*G12</f>
        <v>#REF!</v>
      </c>
      <c r="E12" s="11">
        <v>371.92160000000001</v>
      </c>
      <c r="F12" s="11"/>
      <c r="G12" s="12" t="e">
        <f>SUBSTITUTE(VLOOKUP($B12,#REF!,G$1,FALSE),",", ".")</f>
        <v>#REF!</v>
      </c>
      <c r="H12" s="13">
        <v>6.0000000000000001E-3</v>
      </c>
      <c r="I12" s="11" t="s">
        <v>56</v>
      </c>
      <c r="J12" s="11" t="s">
        <v>34</v>
      </c>
      <c r="K12" s="17" t="s">
        <v>57</v>
      </c>
      <c r="L12" s="12" t="e">
        <f>VLOOKUP($B12,#REF!,L$1,FALSE)</f>
        <v>#REF!</v>
      </c>
      <c r="M12" s="12" t="e">
        <f>VLOOKUP($B12,#REF!,M$1,FALSE)</f>
        <v>#REF!</v>
      </c>
      <c r="N12" s="12" t="e">
        <f>VLOOKUP($B12,#REF!,N$1,FALSE)</f>
        <v>#REF!</v>
      </c>
      <c r="O12" s="12" t="e">
        <f>VLOOKUP($B12,#REF!,O$1,FALSE)</f>
        <v>#REF!</v>
      </c>
      <c r="P12" s="12" t="e">
        <f>VLOOKUP($B12,#REF!,P$1,FALSE)</f>
        <v>#REF!</v>
      </c>
      <c r="Q12" s="12" t="e">
        <f>VLOOKUP($B12,#REF!,Q$1,FALSE)</f>
        <v>#REF!</v>
      </c>
      <c r="R12" s="12" t="e">
        <f>VLOOKUP($B12,#REF!,R$1,FALSE)</f>
        <v>#REF!</v>
      </c>
      <c r="S12" s="12" t="e">
        <f>VLOOKUP($B12,#REF!,S$1,FALSE)</f>
        <v>#REF!</v>
      </c>
      <c r="T12" s="13">
        <v>-0.04</v>
      </c>
      <c r="U12" s="15"/>
      <c r="V12" s="21">
        <v>-4.33</v>
      </c>
      <c r="W12" s="4">
        <v>-5.5830000000000002</v>
      </c>
      <c r="X12" s="6" t="e">
        <f t="shared" ref="X12:X15" si="1">(1+(V12/100))*D12</f>
        <v>#REF!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ht="15.75" customHeight="1">
      <c r="A13" s="18" t="s">
        <v>58</v>
      </c>
      <c r="B13" s="11" t="s">
        <v>59</v>
      </c>
      <c r="C13" s="12" t="s">
        <v>60</v>
      </c>
      <c r="D13" s="12" t="e">
        <f t="shared" si="0"/>
        <v>#REF!</v>
      </c>
      <c r="E13" s="11">
        <v>10.5258</v>
      </c>
      <c r="F13" s="11"/>
      <c r="G13" s="12" t="e">
        <f>SUBSTITUTE(VLOOKUP($B13,#REF!,G$1,FALSE),",", ".")</f>
        <v>#REF!</v>
      </c>
      <c r="H13" s="13">
        <v>7.4999999999999997E-3</v>
      </c>
      <c r="I13" s="11" t="s">
        <v>61</v>
      </c>
      <c r="J13" s="11" t="s">
        <v>34</v>
      </c>
      <c r="K13" s="17" t="s">
        <v>62</v>
      </c>
      <c r="L13" s="12" t="e">
        <f>VLOOKUP($B13,#REF!,L$1,FALSE)</f>
        <v>#REF!</v>
      </c>
      <c r="M13" s="12" t="e">
        <f>VLOOKUP($B13,#REF!,M$1,FALSE)</f>
        <v>#REF!</v>
      </c>
      <c r="N13" s="12" t="e">
        <f>VLOOKUP($B13,#REF!,N$1,FALSE)</f>
        <v>#REF!</v>
      </c>
      <c r="O13" s="12" t="e">
        <f>VLOOKUP($B13,#REF!,O$1,FALSE)</f>
        <v>#REF!</v>
      </c>
      <c r="P13" s="12" t="e">
        <f>VLOOKUP($B13,#REF!,P$1,FALSE)</f>
        <v>#REF!</v>
      </c>
      <c r="Q13" s="12" t="e">
        <f>VLOOKUP($B13,#REF!,Q$1,FALSE)</f>
        <v>#REF!</v>
      </c>
      <c r="R13" s="12" t="e">
        <f>VLOOKUP($B13,#REF!,R$1,FALSE)</f>
        <v>#REF!</v>
      </c>
      <c r="S13" s="12" t="e">
        <f>VLOOKUP($B13,#REF!,S$1,FALSE)</f>
        <v>#REF!</v>
      </c>
      <c r="T13" s="13">
        <v>-8.9399999999999993E-2</v>
      </c>
      <c r="U13" s="15"/>
      <c r="V13" s="4">
        <v>-8.8000000000000007</v>
      </c>
      <c r="W13" s="5">
        <v>-11.04</v>
      </c>
      <c r="X13" s="6" t="e">
        <f t="shared" si="1"/>
        <v>#REF!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ht="15.75" customHeight="1">
      <c r="A14" s="18" t="s">
        <v>63</v>
      </c>
      <c r="B14" s="11" t="s">
        <v>64</v>
      </c>
      <c r="C14" s="12" t="s">
        <v>55</v>
      </c>
      <c r="D14" s="12" t="e">
        <f t="shared" si="0"/>
        <v>#REF!</v>
      </c>
      <c r="E14" s="11">
        <v>33.581000000000003</v>
      </c>
      <c r="F14" s="11"/>
      <c r="G14" s="12" t="e">
        <f>SUBSTITUTE(VLOOKUP($B14,#REF!,G$1,FALSE),",", ".")</f>
        <v>#REF!</v>
      </c>
      <c r="H14" s="13">
        <v>2.7000000000000001E-3</v>
      </c>
      <c r="I14" s="11" t="s">
        <v>65</v>
      </c>
      <c r="J14" s="11" t="s">
        <v>26</v>
      </c>
      <c r="K14" s="17" t="s">
        <v>66</v>
      </c>
      <c r="L14" s="12" t="e">
        <f>VLOOKUP($B14,#REF!,L$1,FALSE)</f>
        <v>#REF!</v>
      </c>
      <c r="M14" s="12" t="e">
        <f>VLOOKUP($B14,#REF!,M$1,FALSE)</f>
        <v>#REF!</v>
      </c>
      <c r="N14" s="12" t="e">
        <f>VLOOKUP($B14,#REF!,N$1,FALSE)</f>
        <v>#REF!</v>
      </c>
      <c r="O14" s="12" t="e">
        <f>VLOOKUP($B14,#REF!,O$1,FALSE)</f>
        <v>#REF!</v>
      </c>
      <c r="P14" s="12" t="e">
        <f>VLOOKUP($B14,#REF!,P$1,FALSE)</f>
        <v>#REF!</v>
      </c>
      <c r="Q14" s="12" t="e">
        <f>VLOOKUP($B14,#REF!,Q$1,FALSE)</f>
        <v>#REF!</v>
      </c>
      <c r="R14" s="12" t="e">
        <f>VLOOKUP($B14,#REF!,R$1,FALSE)</f>
        <v>#REF!</v>
      </c>
      <c r="S14" s="12" t="e">
        <f>VLOOKUP($B14,#REF!,S$1,FALSE)</f>
        <v>#REF!</v>
      </c>
      <c r="T14" s="11" t="s">
        <v>67</v>
      </c>
      <c r="U14" s="15"/>
      <c r="V14" s="21">
        <v>-4.67</v>
      </c>
      <c r="W14" s="5">
        <v>-7.87</v>
      </c>
      <c r="X14" s="6" t="e">
        <f t="shared" si="1"/>
        <v>#REF!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 ht="15.75" customHeight="1">
      <c r="A15" s="18" t="s">
        <v>68</v>
      </c>
      <c r="B15" s="11" t="s">
        <v>69</v>
      </c>
      <c r="C15" s="12" t="s">
        <v>55</v>
      </c>
      <c r="D15" s="12" t="e">
        <f t="shared" si="0"/>
        <v>#REF!</v>
      </c>
      <c r="E15" s="11">
        <v>274.48386699999998</v>
      </c>
      <c r="F15" s="11"/>
      <c r="G15" s="12" t="e">
        <f>SUBSTITUTE(VLOOKUP($B15,#REF!,G$1,FALSE),",", ".")</f>
        <v>#REF!</v>
      </c>
      <c r="H15" s="13">
        <v>3.0000000000000001E-3</v>
      </c>
      <c r="I15" s="11" t="s">
        <v>70</v>
      </c>
      <c r="J15" s="11" t="s">
        <v>26</v>
      </c>
      <c r="K15" s="17" t="s">
        <v>71</v>
      </c>
      <c r="L15" s="12" t="e">
        <f>VLOOKUP($B15,#REF!,L$1,FALSE)</f>
        <v>#REF!</v>
      </c>
      <c r="M15" s="12" t="e">
        <f>VLOOKUP($B15,#REF!,M$1,FALSE)</f>
        <v>#REF!</v>
      </c>
      <c r="N15" s="12" t="e">
        <f>VLOOKUP($B15,#REF!,N$1,FALSE)</f>
        <v>#REF!</v>
      </c>
      <c r="O15" s="12" t="e">
        <f>VLOOKUP($B15,#REF!,O$1,FALSE)</f>
        <v>#REF!</v>
      </c>
      <c r="P15" s="12" t="e">
        <f>VLOOKUP($B15,#REF!,P$1,FALSE)</f>
        <v>#REF!</v>
      </c>
      <c r="Q15" s="12" t="e">
        <f>VLOOKUP($B15,#REF!,Q$1,FALSE)</f>
        <v>#REF!</v>
      </c>
      <c r="R15" s="12" t="e">
        <f>VLOOKUP($B15,#REF!,R$1,FALSE)</f>
        <v>#REF!</v>
      </c>
      <c r="S15" s="12" t="e">
        <f>VLOOKUP($B15,#REF!,S$1,FALSE)</f>
        <v>#REF!</v>
      </c>
      <c r="T15" s="13">
        <v>-2.3400000000000001E-2</v>
      </c>
      <c r="U15" s="15"/>
      <c r="V15" s="5">
        <v>-19.600000000000001</v>
      </c>
      <c r="W15" s="5">
        <v>-4.6500000000000004</v>
      </c>
      <c r="X15" s="6" t="e">
        <f t="shared" si="1"/>
        <v>#REF!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 ht="15.75" customHeight="1">
      <c r="A16" s="18" t="s">
        <v>72</v>
      </c>
      <c r="B16" s="11" t="s">
        <v>73</v>
      </c>
      <c r="C16" s="12"/>
      <c r="D16" s="12"/>
      <c r="E16" s="11"/>
      <c r="F16" s="11"/>
      <c r="G16" s="12" t="e">
        <f>SUBSTITUTE(VLOOKUP($B16,#REF!,G$1,FALSE),",", ".")</f>
        <v>#REF!</v>
      </c>
      <c r="H16" s="13"/>
      <c r="I16" s="11" t="s">
        <v>74</v>
      </c>
      <c r="J16" s="11" t="s">
        <v>26</v>
      </c>
      <c r="K16" s="17" t="s">
        <v>75</v>
      </c>
      <c r="L16" s="12" t="e">
        <f>VLOOKUP($B16,#REF!,L$1,FALSE)</f>
        <v>#REF!</v>
      </c>
      <c r="M16" s="12" t="e">
        <f>VLOOKUP($B16,#REF!,M$1,FALSE)</f>
        <v>#REF!</v>
      </c>
      <c r="N16" s="12" t="e">
        <f>VLOOKUP($B16,#REF!,N$1,FALSE)</f>
        <v>#REF!</v>
      </c>
      <c r="O16" s="12" t="e">
        <f>VLOOKUP($B16,#REF!,O$1,FALSE)</f>
        <v>#REF!</v>
      </c>
      <c r="P16" s="12" t="e">
        <f>VLOOKUP($B16,#REF!,P$1,FALSE)</f>
        <v>#REF!</v>
      </c>
      <c r="Q16" s="12" t="e">
        <f>VLOOKUP($B16,#REF!,Q$1,FALSE)</f>
        <v>#REF!</v>
      </c>
      <c r="R16" s="12" t="e">
        <f>VLOOKUP($B16,#REF!,R$1,FALSE)</f>
        <v>#REF!</v>
      </c>
      <c r="S16" s="12" t="e">
        <f>VLOOKUP($B16,#REF!,S$1,FALSE)</f>
        <v>#REF!</v>
      </c>
      <c r="T16" s="13"/>
      <c r="U16" s="15"/>
      <c r="V16" s="4">
        <v>-9.75</v>
      </c>
      <c r="W16" s="4">
        <v>-2.65</v>
      </c>
      <c r="X16" s="6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ht="15.75" customHeight="1">
      <c r="A17" s="18" t="s">
        <v>76</v>
      </c>
      <c r="B17" s="11" t="s">
        <v>77</v>
      </c>
      <c r="C17" s="12"/>
      <c r="D17" s="12"/>
      <c r="E17" s="13"/>
      <c r="F17" s="13"/>
      <c r="G17" s="12" t="e">
        <f>SUBSTITUTE(VLOOKUP($B17,#REF!,G$1,FALSE),",", ".")</f>
        <v>#REF!</v>
      </c>
      <c r="H17" s="13"/>
      <c r="I17" s="11" t="s">
        <v>78</v>
      </c>
      <c r="J17" s="11" t="s">
        <v>26</v>
      </c>
      <c r="K17" s="17" t="s">
        <v>79</v>
      </c>
      <c r="L17" s="12" t="e">
        <f>VLOOKUP($B17,#REF!,L$1,FALSE)</f>
        <v>#REF!</v>
      </c>
      <c r="M17" s="12" t="e">
        <f>VLOOKUP($B17,#REF!,M$1,FALSE)</f>
        <v>#REF!</v>
      </c>
      <c r="N17" s="12" t="e">
        <f>VLOOKUP($B17,#REF!,N$1,FALSE)</f>
        <v>#REF!</v>
      </c>
      <c r="O17" s="12" t="e">
        <f>VLOOKUP($B17,#REF!,O$1,FALSE)</f>
        <v>#REF!</v>
      </c>
      <c r="P17" s="12" t="e">
        <f>VLOOKUP($B17,#REF!,P$1,FALSE)</f>
        <v>#REF!</v>
      </c>
      <c r="Q17" s="12" t="e">
        <f>VLOOKUP($B17,#REF!,Q$1,FALSE)</f>
        <v>#REF!</v>
      </c>
      <c r="R17" s="12" t="e">
        <f>VLOOKUP($B17,#REF!,R$1,FALSE)</f>
        <v>#REF!</v>
      </c>
      <c r="S17" s="12" t="e">
        <f>VLOOKUP($B17,#REF!,S$1,FALSE)</f>
        <v>#REF!</v>
      </c>
      <c r="T17" s="13"/>
      <c r="U17" s="15"/>
      <c r="V17" s="4">
        <v>-8.23</v>
      </c>
      <c r="W17" s="4">
        <v>-5</v>
      </c>
      <c r="X17" s="6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15.75" customHeight="1">
      <c r="A18" s="18" t="s">
        <v>80</v>
      </c>
      <c r="B18" s="22" t="s">
        <v>81</v>
      </c>
      <c r="C18" s="12" t="s">
        <v>60</v>
      </c>
      <c r="D18" s="12" t="e">
        <f>E18*G18</f>
        <v>#REF!</v>
      </c>
      <c r="E18" s="11">
        <v>2.9952000000000001</v>
      </c>
      <c r="F18" s="11"/>
      <c r="G18" s="12" t="e">
        <f>SUBSTITUTE(VLOOKUP($B18,#REF!,G$1,FALSE),",", ".")</f>
        <v>#REF!</v>
      </c>
      <c r="H18" s="13">
        <v>1.2999999999999999E-2</v>
      </c>
      <c r="I18" s="11" t="s">
        <v>82</v>
      </c>
      <c r="J18" s="11" t="s">
        <v>26</v>
      </c>
      <c r="K18" s="17" t="s">
        <v>83</v>
      </c>
      <c r="L18" s="12" t="e">
        <f>VLOOKUP($B18,#REF!,L$1,FALSE)</f>
        <v>#REF!</v>
      </c>
      <c r="M18" s="12" t="e">
        <f>VLOOKUP($B18,#REF!,M$1,FALSE)</f>
        <v>#REF!</v>
      </c>
      <c r="N18" s="12" t="e">
        <f>VLOOKUP($B18,#REF!,N$1,FALSE)</f>
        <v>#REF!</v>
      </c>
      <c r="O18" s="12" t="e">
        <f>VLOOKUP($B18,#REF!,O$1,FALSE)</f>
        <v>#REF!</v>
      </c>
      <c r="P18" s="12" t="e">
        <f>VLOOKUP($B18,#REF!,P$1,FALSE)</f>
        <v>#REF!</v>
      </c>
      <c r="Q18" s="12" t="e">
        <f>VLOOKUP($B18,#REF!,Q$1,FALSE)</f>
        <v>#REF!</v>
      </c>
      <c r="R18" s="12" t="e">
        <f>VLOOKUP($B18,#REF!,R$1,FALSE)</f>
        <v>#REF!</v>
      </c>
      <c r="S18" s="12" t="e">
        <f>VLOOKUP($B18,#REF!,S$1,FALSE)</f>
        <v>#REF!</v>
      </c>
      <c r="T18" s="13">
        <v>-4.6600000000000003E-2</v>
      </c>
      <c r="U18" s="15" t="s">
        <v>84</v>
      </c>
      <c r="V18" s="4"/>
      <c r="W18" s="4">
        <v>-5</v>
      </c>
      <c r="X18" s="6" t="e">
        <f>(1+(V18/100))*D18</f>
        <v>#REF!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 t="s">
        <v>85</v>
      </c>
    </row>
    <row r="19" spans="1:41" ht="15.75" customHeight="1">
      <c r="A19" s="11" t="s">
        <v>86</v>
      </c>
      <c r="B19" s="11" t="s">
        <v>87</v>
      </c>
      <c r="C19" s="12"/>
      <c r="D19" s="12"/>
      <c r="E19" s="11"/>
      <c r="F19" s="11"/>
      <c r="G19" s="12" t="e">
        <f>SUBSTITUTE(VLOOKUP($B19,#REF!,G$1,FALSE),",", ".")</f>
        <v>#REF!</v>
      </c>
      <c r="H19" s="13"/>
      <c r="I19" s="11" t="s">
        <v>78</v>
      </c>
      <c r="J19" s="11" t="s">
        <v>26</v>
      </c>
      <c r="K19" s="17" t="s">
        <v>88</v>
      </c>
      <c r="L19" s="12" t="e">
        <f>VLOOKUP($B19,#REF!,L$1,FALSE)</f>
        <v>#REF!</v>
      </c>
      <c r="M19" s="12" t="e">
        <f>VLOOKUP($B19,#REF!,M$1,FALSE)</f>
        <v>#REF!</v>
      </c>
      <c r="N19" s="12" t="e">
        <f>VLOOKUP($B19,#REF!,N$1,FALSE)</f>
        <v>#REF!</v>
      </c>
      <c r="O19" s="12" t="e">
        <f>VLOOKUP($B19,#REF!,O$1,FALSE)</f>
        <v>#REF!</v>
      </c>
      <c r="P19" s="12" t="e">
        <f>VLOOKUP($B19,#REF!,P$1,FALSE)</f>
        <v>#REF!</v>
      </c>
      <c r="Q19" s="12" t="e">
        <f>VLOOKUP($B19,#REF!,Q$1,FALSE)</f>
        <v>#REF!</v>
      </c>
      <c r="R19" s="12" t="e">
        <f>VLOOKUP($B19,#REF!,R$1,FALSE)</f>
        <v>#REF!</v>
      </c>
      <c r="S19" s="12" t="e">
        <f>VLOOKUP($B19,#REF!,S$1,FALSE)</f>
        <v>#REF!</v>
      </c>
      <c r="T19" s="13"/>
      <c r="U19" s="15"/>
      <c r="V19" s="4"/>
      <c r="W19" s="4"/>
      <c r="X19" s="6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ht="15.75" customHeight="1">
      <c r="A20" s="13" t="s">
        <v>89</v>
      </c>
      <c r="B20" s="11" t="s">
        <v>90</v>
      </c>
      <c r="C20" s="12"/>
      <c r="D20" s="12"/>
      <c r="E20" s="11"/>
      <c r="F20" s="11"/>
      <c r="G20" s="12" t="e">
        <f>SUBSTITUTE(VLOOKUP($B20,#REF!,G$1,FALSE),",", ".")</f>
        <v>#REF!</v>
      </c>
      <c r="H20" s="13" t="s">
        <v>91</v>
      </c>
      <c r="I20" s="11" t="s">
        <v>92</v>
      </c>
      <c r="J20" s="11" t="s">
        <v>26</v>
      </c>
      <c r="K20" s="17" t="s">
        <v>93</v>
      </c>
      <c r="L20" s="12" t="e">
        <f>VLOOKUP($B20,#REF!,L$1,FALSE)</f>
        <v>#REF!</v>
      </c>
      <c r="M20" s="12" t="e">
        <f>VLOOKUP($B20,#REF!,M$1,FALSE)</f>
        <v>#REF!</v>
      </c>
      <c r="N20" s="12" t="e">
        <f>VLOOKUP($B20,#REF!,N$1,FALSE)</f>
        <v>#REF!</v>
      </c>
      <c r="O20" s="12" t="e">
        <f>VLOOKUP($B20,#REF!,O$1,FALSE)</f>
        <v>#REF!</v>
      </c>
      <c r="P20" s="12" t="e">
        <f>VLOOKUP($B20,#REF!,P$1,FALSE)</f>
        <v>#REF!</v>
      </c>
      <c r="Q20" s="12" t="e">
        <f>VLOOKUP($B20,#REF!,Q$1,FALSE)</f>
        <v>#REF!</v>
      </c>
      <c r="R20" s="12" t="e">
        <f>VLOOKUP($B20,#REF!,R$1,FALSE)</f>
        <v>#REF!</v>
      </c>
      <c r="S20" s="12" t="e">
        <f>VLOOKUP($B20,#REF!,S$1,FALSE)</f>
        <v>#REF!</v>
      </c>
      <c r="T20" s="13">
        <v>-1.5800000000000002E-2</v>
      </c>
      <c r="U20" s="15"/>
      <c r="V20" s="4"/>
      <c r="W20" s="4"/>
      <c r="X20" s="6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ht="15.75" customHeight="1">
      <c r="A21" s="11" t="s">
        <v>94</v>
      </c>
      <c r="B21" s="11" t="s">
        <v>95</v>
      </c>
      <c r="C21" s="12"/>
      <c r="D21" s="12"/>
      <c r="E21" s="11"/>
      <c r="F21" s="11"/>
      <c r="G21" s="12" t="e">
        <f>SUBSTITUTE(VLOOKUP($B21,#REF!,G$1,FALSE),",", ".")</f>
        <v>#REF!</v>
      </c>
      <c r="H21" s="13"/>
      <c r="I21" s="11" t="s">
        <v>96</v>
      </c>
      <c r="J21" s="11" t="s">
        <v>26</v>
      </c>
      <c r="K21" s="17" t="s">
        <v>97</v>
      </c>
      <c r="L21" s="12" t="e">
        <f>VLOOKUP($B21,#REF!,L$1,FALSE)</f>
        <v>#REF!</v>
      </c>
      <c r="M21" s="12" t="e">
        <f>VLOOKUP($B21,#REF!,M$1,FALSE)</f>
        <v>#REF!</v>
      </c>
      <c r="N21" s="12" t="e">
        <f>VLOOKUP($B21,#REF!,N$1,FALSE)</f>
        <v>#REF!</v>
      </c>
      <c r="O21" s="12" t="e">
        <f>VLOOKUP($B21,#REF!,O$1,FALSE)</f>
        <v>#REF!</v>
      </c>
      <c r="P21" s="12" t="e">
        <f>VLOOKUP($B21,#REF!,P$1,FALSE)</f>
        <v>#REF!</v>
      </c>
      <c r="Q21" s="12" t="e">
        <f>VLOOKUP($B21,#REF!,Q$1,FALSE)</f>
        <v>#REF!</v>
      </c>
      <c r="R21" s="12" t="e">
        <f>VLOOKUP($B21,#REF!,R$1,FALSE)</f>
        <v>#REF!</v>
      </c>
      <c r="S21" s="12" t="e">
        <f>VLOOKUP($B21,#REF!,S$1,FALSE)</f>
        <v>#REF!</v>
      </c>
      <c r="T21" s="13"/>
      <c r="U21" s="15"/>
      <c r="V21" s="4"/>
      <c r="W21" s="4"/>
      <c r="X21" s="6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:41" ht="15.75" customHeight="1">
      <c r="A22" s="11" t="s">
        <v>98</v>
      </c>
      <c r="B22" s="11" t="s">
        <v>99</v>
      </c>
      <c r="C22" s="12"/>
      <c r="D22" s="12"/>
      <c r="E22" s="11"/>
      <c r="F22" s="11"/>
      <c r="G22" s="12" t="e">
        <f>SUBSTITUTE(VLOOKUP($B22,#REF!,G$1,FALSE),",", ".")</f>
        <v>#REF!</v>
      </c>
      <c r="H22" s="13"/>
      <c r="I22" s="11"/>
      <c r="J22" s="11" t="s">
        <v>26</v>
      </c>
      <c r="K22" s="17" t="s">
        <v>100</v>
      </c>
      <c r="L22" s="12" t="e">
        <f>VLOOKUP($B22,#REF!,L$1,FALSE)</f>
        <v>#REF!</v>
      </c>
      <c r="M22" s="12" t="e">
        <f>VLOOKUP($B22,#REF!,M$1,FALSE)</f>
        <v>#REF!</v>
      </c>
      <c r="N22" s="12" t="e">
        <f>VLOOKUP($B22,#REF!,N$1,FALSE)</f>
        <v>#REF!</v>
      </c>
      <c r="O22" s="12" t="e">
        <f>VLOOKUP($B22,#REF!,O$1,FALSE)</f>
        <v>#REF!</v>
      </c>
      <c r="P22" s="12" t="e">
        <f>VLOOKUP($B22,#REF!,P$1,FALSE)</f>
        <v>#REF!</v>
      </c>
      <c r="Q22" s="12" t="e">
        <f>VLOOKUP($B22,#REF!,Q$1,FALSE)</f>
        <v>#REF!</v>
      </c>
      <c r="R22" s="12" t="e">
        <f>VLOOKUP($B22,#REF!,R$1,FALSE)</f>
        <v>#REF!</v>
      </c>
      <c r="S22" s="12" t="e">
        <f>VLOOKUP($B22,#REF!,S$1,FALSE)</f>
        <v>#REF!</v>
      </c>
      <c r="T22" s="13"/>
      <c r="U22" s="15"/>
      <c r="V22" s="4"/>
      <c r="W22" s="4"/>
      <c r="X22" s="6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:41" ht="15.75" customHeight="1">
      <c r="A23" s="13" t="s">
        <v>101</v>
      </c>
      <c r="B23" s="11" t="s">
        <v>102</v>
      </c>
      <c r="C23" s="12"/>
      <c r="D23" s="12"/>
      <c r="E23" s="11"/>
      <c r="F23" s="11"/>
      <c r="G23" s="12" t="e">
        <f>SUBSTITUTE(VLOOKUP($B23,#REF!,G$1,FALSE),",", ".")</f>
        <v>#REF!</v>
      </c>
      <c r="H23" s="13">
        <v>2.5000000000000001E-3</v>
      </c>
      <c r="I23" s="11" t="s">
        <v>56</v>
      </c>
      <c r="J23" s="11" t="s">
        <v>34</v>
      </c>
      <c r="K23" s="17" t="s">
        <v>103</v>
      </c>
      <c r="L23" s="12" t="e">
        <f>VLOOKUP($B23,#REF!,L$1,FALSE)</f>
        <v>#REF!</v>
      </c>
      <c r="M23" s="12" t="e">
        <f>VLOOKUP($B23,#REF!,M$1,FALSE)</f>
        <v>#REF!</v>
      </c>
      <c r="N23" s="12" t="e">
        <f>VLOOKUP($B23,#REF!,N$1,FALSE)</f>
        <v>#REF!</v>
      </c>
      <c r="O23" s="12" t="e">
        <f>VLOOKUP($B23,#REF!,O$1,FALSE)</f>
        <v>#REF!</v>
      </c>
      <c r="P23" s="12" t="e">
        <f>VLOOKUP($B23,#REF!,P$1,FALSE)</f>
        <v>#REF!</v>
      </c>
      <c r="Q23" s="12" t="e">
        <f>VLOOKUP($B23,#REF!,Q$1,FALSE)</f>
        <v>#REF!</v>
      </c>
      <c r="R23" s="12" t="e">
        <f>VLOOKUP($B23,#REF!,R$1,FALSE)</f>
        <v>#REF!</v>
      </c>
      <c r="S23" s="12" t="e">
        <f>VLOOKUP($B23,#REF!,S$1,FALSE)</f>
        <v>#REF!</v>
      </c>
      <c r="T23" s="13">
        <v>-3.6299999999999999E-2</v>
      </c>
      <c r="U23" s="15"/>
      <c r="V23" s="4"/>
      <c r="W23" s="4"/>
      <c r="X23" s="6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 ht="15.75" customHeight="1">
      <c r="A24" s="13" t="s">
        <v>104</v>
      </c>
      <c r="B24" s="11" t="s">
        <v>105</v>
      </c>
      <c r="C24" s="12"/>
      <c r="D24" s="12"/>
      <c r="E24" s="11"/>
      <c r="F24" s="11"/>
      <c r="G24" s="12" t="e">
        <f>SUBSTITUTE(VLOOKUP($B24,#REF!,G$1,FALSE),",", ".")</f>
        <v>#REF!</v>
      </c>
      <c r="H24" s="13">
        <v>5.4999999999999997E-3</v>
      </c>
      <c r="I24" s="11" t="s">
        <v>106</v>
      </c>
      <c r="J24" s="11" t="s">
        <v>34</v>
      </c>
      <c r="K24" s="17" t="s">
        <v>107</v>
      </c>
      <c r="L24" s="12" t="e">
        <f>VLOOKUP($B24,#REF!,L$1,FALSE)</f>
        <v>#REF!</v>
      </c>
      <c r="M24" s="12" t="e">
        <f>VLOOKUP($B24,#REF!,M$1,FALSE)</f>
        <v>#REF!</v>
      </c>
      <c r="N24" s="12" t="e">
        <f>VLOOKUP($B24,#REF!,N$1,FALSE)</f>
        <v>#REF!</v>
      </c>
      <c r="O24" s="12" t="e">
        <f>VLOOKUP($B24,#REF!,O$1,FALSE)</f>
        <v>#REF!</v>
      </c>
      <c r="P24" s="12" t="e">
        <f>VLOOKUP($B24,#REF!,P$1,FALSE)</f>
        <v>#REF!</v>
      </c>
      <c r="Q24" s="12" t="e">
        <f>VLOOKUP($B24,#REF!,Q$1,FALSE)</f>
        <v>#REF!</v>
      </c>
      <c r="R24" s="12" t="e">
        <f>VLOOKUP($B24,#REF!,R$1,FALSE)</f>
        <v>#REF!</v>
      </c>
      <c r="S24" s="12" t="e">
        <f>VLOOKUP($B24,#REF!,S$1,FALSE)</f>
        <v>#REF!</v>
      </c>
      <c r="T24" s="13">
        <v>-6.3100000000000003E-2</v>
      </c>
      <c r="U24" s="15"/>
      <c r="V24" s="5"/>
      <c r="W24" s="5"/>
      <c r="X24" s="6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 ht="15.75" customHeight="1">
      <c r="A25" s="13" t="s">
        <v>108</v>
      </c>
      <c r="B25" s="11" t="s">
        <v>109</v>
      </c>
      <c r="C25" s="12"/>
      <c r="D25" s="12"/>
      <c r="E25" s="11"/>
      <c r="F25" s="11"/>
      <c r="G25" s="12" t="e">
        <f>SUBSTITUTE(VLOOKUP($B25,#REF!,G$1,FALSE),",", ".")</f>
        <v>#REF!</v>
      </c>
      <c r="H25" s="13">
        <v>0.01</v>
      </c>
      <c r="I25" s="11" t="s">
        <v>110</v>
      </c>
      <c r="J25" s="11" t="s">
        <v>34</v>
      </c>
      <c r="K25" s="17" t="s">
        <v>111</v>
      </c>
      <c r="L25" s="12" t="e">
        <f>VLOOKUP($B25,#REF!,L$1,FALSE)</f>
        <v>#REF!</v>
      </c>
      <c r="M25" s="12" t="e">
        <f>VLOOKUP($B25,#REF!,M$1,FALSE)</f>
        <v>#REF!</v>
      </c>
      <c r="N25" s="12" t="e">
        <f>VLOOKUP($B25,#REF!,N$1,FALSE)</f>
        <v>#REF!</v>
      </c>
      <c r="O25" s="12" t="e">
        <f>VLOOKUP($B25,#REF!,O$1,FALSE)</f>
        <v>#REF!</v>
      </c>
      <c r="P25" s="12" t="e">
        <f>VLOOKUP($B25,#REF!,P$1,FALSE)</f>
        <v>#REF!</v>
      </c>
      <c r="Q25" s="12" t="e">
        <f>VLOOKUP($B25,#REF!,Q$1,FALSE)</f>
        <v>#REF!</v>
      </c>
      <c r="R25" s="12" t="e">
        <f>VLOOKUP($B25,#REF!,R$1,FALSE)</f>
        <v>#REF!</v>
      </c>
      <c r="S25" s="12" t="e">
        <f>VLOOKUP($B25,#REF!,S$1,FALSE)</f>
        <v>#REF!</v>
      </c>
      <c r="T25" s="13">
        <v>-4.7500000000000001E-2</v>
      </c>
      <c r="U25" s="15" t="s">
        <v>112</v>
      </c>
      <c r="V25" s="5"/>
      <c r="W25" s="5"/>
      <c r="X25" s="6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 ht="15.75" customHeight="1">
      <c r="A26" s="13" t="s">
        <v>113</v>
      </c>
      <c r="B26" s="11" t="s">
        <v>114</v>
      </c>
      <c r="C26" s="12"/>
      <c r="D26" s="12"/>
      <c r="E26" s="11"/>
      <c r="F26" s="11"/>
      <c r="G26" s="12" t="e">
        <f>SUBSTITUTE(VLOOKUP($B26,#REF!,G$1,FALSE),",", ".")</f>
        <v>#REF!</v>
      </c>
      <c r="H26" s="13">
        <v>1.5E-3</v>
      </c>
      <c r="I26" s="11" t="s">
        <v>115</v>
      </c>
      <c r="J26" s="11" t="s">
        <v>26</v>
      </c>
      <c r="K26" s="17" t="s">
        <v>116</v>
      </c>
      <c r="L26" s="12" t="e">
        <f>VLOOKUP($B26,#REF!,L$1,FALSE)</f>
        <v>#REF!</v>
      </c>
      <c r="M26" s="12" t="e">
        <f>VLOOKUP($B26,#REF!,M$1,FALSE)</f>
        <v>#REF!</v>
      </c>
      <c r="N26" s="12" t="e">
        <f>VLOOKUP($B26,#REF!,N$1,FALSE)</f>
        <v>#REF!</v>
      </c>
      <c r="O26" s="12" t="e">
        <f>VLOOKUP($B26,#REF!,O$1,FALSE)</f>
        <v>#REF!</v>
      </c>
      <c r="P26" s="12" t="e">
        <f>VLOOKUP($B26,#REF!,P$1,FALSE)</f>
        <v>#REF!</v>
      </c>
      <c r="Q26" s="12" t="e">
        <f>VLOOKUP($B26,#REF!,Q$1,FALSE)</f>
        <v>#REF!</v>
      </c>
      <c r="R26" s="12" t="e">
        <f>VLOOKUP($B26,#REF!,R$1,FALSE)</f>
        <v>#REF!</v>
      </c>
      <c r="S26" s="12" t="e">
        <f>VLOOKUP($B26,#REF!,S$1,FALSE)</f>
        <v>#REF!</v>
      </c>
      <c r="T26" s="13">
        <v>-7.0900000000000005E-2</v>
      </c>
      <c r="U26" s="15" t="s">
        <v>117</v>
      </c>
      <c r="V26" s="5"/>
      <c r="W26" s="4"/>
      <c r="X26" s="6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1" ht="15.75" customHeight="1">
      <c r="A27" s="13" t="s">
        <v>118</v>
      </c>
      <c r="B27" s="11" t="s">
        <v>119</v>
      </c>
      <c r="C27" s="12"/>
      <c r="D27" s="12"/>
      <c r="E27" s="11"/>
      <c r="F27" s="11"/>
      <c r="G27" s="12" t="e">
        <f>SUBSTITUTE(VLOOKUP($B27,#REF!,G$1,FALSE),",", ".")</f>
        <v>#REF!</v>
      </c>
      <c r="H27" s="13">
        <v>1.8E-3</v>
      </c>
      <c r="I27" s="11" t="s">
        <v>120</v>
      </c>
      <c r="J27" s="11" t="s">
        <v>26</v>
      </c>
      <c r="K27" s="17" t="s">
        <v>121</v>
      </c>
      <c r="L27" s="12" t="e">
        <f>VLOOKUP($B27,#REF!,L$1,FALSE)</f>
        <v>#REF!</v>
      </c>
      <c r="M27" s="12" t="e">
        <f>VLOOKUP($B27,#REF!,M$1,FALSE)</f>
        <v>#REF!</v>
      </c>
      <c r="N27" s="12" t="e">
        <f>VLOOKUP($B27,#REF!,N$1,FALSE)</f>
        <v>#REF!</v>
      </c>
      <c r="O27" s="12" t="e">
        <f>VLOOKUP($B27,#REF!,O$1,FALSE)</f>
        <v>#REF!</v>
      </c>
      <c r="P27" s="12" t="e">
        <f>VLOOKUP($B27,#REF!,P$1,FALSE)</f>
        <v>#REF!</v>
      </c>
      <c r="Q27" s="12" t="e">
        <f>VLOOKUP($B27,#REF!,Q$1,FALSE)</f>
        <v>#REF!</v>
      </c>
      <c r="R27" s="12" t="e">
        <f>VLOOKUP($B27,#REF!,R$1,FALSE)</f>
        <v>#REF!</v>
      </c>
      <c r="S27" s="12" t="e">
        <f>VLOOKUP($B27,#REF!,S$1,FALSE)</f>
        <v>#REF!</v>
      </c>
      <c r="T27" s="13">
        <v>-8.0199999999999994E-2</v>
      </c>
      <c r="U27" s="15" t="s">
        <v>122</v>
      </c>
      <c r="V27" s="5"/>
      <c r="W27" s="4"/>
      <c r="X27" s="6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1:41" ht="15.75" customHeight="1">
      <c r="A28" s="1" t="s">
        <v>123</v>
      </c>
      <c r="B28" s="1"/>
      <c r="C28" s="7"/>
      <c r="D28" s="7" t="e">
        <f>SUM(D29:D48)</f>
        <v>#REF!</v>
      </c>
      <c r="E28" s="1"/>
      <c r="F28" s="1"/>
      <c r="G28" s="1"/>
      <c r="H28" s="1"/>
      <c r="I28" s="1"/>
      <c r="J28" s="1"/>
      <c r="K28" s="3"/>
      <c r="L28" s="1"/>
      <c r="M28" s="1"/>
      <c r="N28" s="1"/>
      <c r="O28" s="1"/>
      <c r="P28" s="1"/>
      <c r="Q28" s="1"/>
      <c r="R28" s="1"/>
      <c r="S28" s="1"/>
      <c r="T28" s="1"/>
      <c r="U28" s="3"/>
      <c r="V28" s="4"/>
      <c r="W28" s="4"/>
      <c r="X28" s="6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1" ht="15.75" customHeight="1">
      <c r="A29" s="20" t="s">
        <v>124</v>
      </c>
      <c r="B29" s="11" t="s">
        <v>125</v>
      </c>
      <c r="C29" s="12" t="s">
        <v>60</v>
      </c>
      <c r="D29" s="12" t="e">
        <f t="shared" ref="D29:D35" si="2">E29*G29</f>
        <v>#REF!</v>
      </c>
      <c r="E29" s="11">
        <v>201.30862999999999</v>
      </c>
      <c r="F29" s="11"/>
      <c r="G29" s="12" t="e">
        <f>SUBSTITUTE(VLOOKUP($B29,#REF!,G$1,FALSE),",", ".")</f>
        <v>#REF!</v>
      </c>
      <c r="H29" s="13">
        <v>1.35E-2</v>
      </c>
      <c r="I29" s="11" t="s">
        <v>126</v>
      </c>
      <c r="J29" s="11" t="s">
        <v>34</v>
      </c>
      <c r="K29" s="17" t="s">
        <v>127</v>
      </c>
      <c r="L29" s="12" t="e">
        <f>VLOOKUP($B29,#REF!,L$1,FALSE)</f>
        <v>#REF!</v>
      </c>
      <c r="M29" s="12" t="e">
        <f>VLOOKUP($B29,#REF!,M$1,FALSE)</f>
        <v>#REF!</v>
      </c>
      <c r="N29" s="12" t="e">
        <f>VLOOKUP($B29,#REF!,N$1,FALSE)</f>
        <v>#REF!</v>
      </c>
      <c r="O29" s="12" t="e">
        <f>VLOOKUP($B29,#REF!,O$1,FALSE)</f>
        <v>#REF!</v>
      </c>
      <c r="P29" s="12" t="e">
        <f>VLOOKUP($B29,#REF!,P$1,FALSE)</f>
        <v>#REF!</v>
      </c>
      <c r="Q29" s="12" t="e">
        <f>VLOOKUP($B29,#REF!,Q$1,FALSE)</f>
        <v>#REF!</v>
      </c>
      <c r="R29" s="12" t="e">
        <f>VLOOKUP($B29,#REF!,R$1,FALSE)</f>
        <v>#REF!</v>
      </c>
      <c r="S29" s="12" t="e">
        <f>VLOOKUP($B29,#REF!,S$1,FALSE)</f>
        <v>#REF!</v>
      </c>
      <c r="T29" s="13"/>
      <c r="U29" s="23"/>
      <c r="V29" s="4">
        <v>-25.76</v>
      </c>
      <c r="W29" s="24">
        <f>3.6</f>
        <v>3.6</v>
      </c>
      <c r="X29" s="6" t="e">
        <f t="shared" ref="X29:X35" si="3">(1+(V29/100))*D29</f>
        <v>#REF!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1" ht="15.75" customHeight="1">
      <c r="A30" s="18" t="s">
        <v>128</v>
      </c>
      <c r="B30" s="11" t="s">
        <v>129</v>
      </c>
      <c r="C30" s="12" t="s">
        <v>130</v>
      </c>
      <c r="D30" s="12" t="e">
        <f t="shared" si="2"/>
        <v>#REF!</v>
      </c>
      <c r="E30" s="11">
        <v>3.2709999999999999</v>
      </c>
      <c r="F30" s="11"/>
      <c r="G30" s="12" t="e">
        <f>SUBSTITUTE(VLOOKUP($B30,#REF!,G$1,FALSE),",", ".")</f>
        <v>#REF!</v>
      </c>
      <c r="H30" s="13"/>
      <c r="I30" s="11" t="s">
        <v>131</v>
      </c>
      <c r="J30" s="11" t="s">
        <v>26</v>
      </c>
      <c r="K30" s="16" t="s">
        <v>132</v>
      </c>
      <c r="L30" s="12" t="e">
        <f>VLOOKUP($B30,#REF!,L$1,FALSE)</f>
        <v>#REF!</v>
      </c>
      <c r="M30" s="12" t="e">
        <f>VLOOKUP($B30,#REF!,M$1,FALSE)</f>
        <v>#REF!</v>
      </c>
      <c r="N30" s="12" t="e">
        <f>VLOOKUP($B30,#REF!,N$1,FALSE)</f>
        <v>#REF!</v>
      </c>
      <c r="O30" s="12" t="e">
        <f>VLOOKUP($B30,#REF!,O$1,FALSE)</f>
        <v>#REF!</v>
      </c>
      <c r="P30" s="12" t="e">
        <f>VLOOKUP($B30,#REF!,P$1,FALSE)</f>
        <v>#REF!</v>
      </c>
      <c r="Q30" s="12" t="e">
        <f>VLOOKUP($B30,#REF!,Q$1,FALSE)</f>
        <v>#REF!</v>
      </c>
      <c r="R30" s="12" t="e">
        <f>VLOOKUP($B30,#REF!,R$1,FALSE)</f>
        <v>#REF!</v>
      </c>
      <c r="S30" s="12" t="e">
        <f>VLOOKUP($B30,#REF!,S$1,FALSE)</f>
        <v>#REF!</v>
      </c>
      <c r="T30" s="13"/>
      <c r="U30" s="15"/>
      <c r="V30" s="4">
        <v>-18.16</v>
      </c>
      <c r="W30" s="4"/>
      <c r="X30" s="6" t="e">
        <f t="shared" si="3"/>
        <v>#REF!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1" ht="15.75" customHeight="1">
      <c r="A31" s="18" t="s">
        <v>133</v>
      </c>
      <c r="B31" s="22" t="s">
        <v>134</v>
      </c>
      <c r="C31" s="12" t="s">
        <v>60</v>
      </c>
      <c r="D31" s="12" t="e">
        <f t="shared" si="2"/>
        <v>#REF!</v>
      </c>
      <c r="E31" s="11">
        <v>121.19895</v>
      </c>
      <c r="F31" s="11"/>
      <c r="G31" s="12" t="e">
        <f>SUBSTITUTE(VLOOKUP($B31,#REF!,G$1,FALSE),",", ".")</f>
        <v>#REF!</v>
      </c>
      <c r="H31" s="13" t="s">
        <v>135</v>
      </c>
      <c r="I31" s="13" t="s">
        <v>136</v>
      </c>
      <c r="J31" s="13" t="s">
        <v>26</v>
      </c>
      <c r="K31" s="25" t="s">
        <v>137</v>
      </c>
      <c r="L31" s="12" t="e">
        <f>VLOOKUP($B31,#REF!,L$1,FALSE)</f>
        <v>#REF!</v>
      </c>
      <c r="M31" s="12" t="e">
        <f>VLOOKUP($B31,#REF!,M$1,FALSE)</f>
        <v>#REF!</v>
      </c>
      <c r="N31" s="12" t="e">
        <f>VLOOKUP($B31,#REF!,N$1,FALSE)</f>
        <v>#REF!</v>
      </c>
      <c r="O31" s="12" t="e">
        <f>VLOOKUP($B31,#REF!,O$1,FALSE)</f>
        <v>#REF!</v>
      </c>
      <c r="P31" s="12" t="e">
        <f>VLOOKUP($B31,#REF!,P$1,FALSE)</f>
        <v>#REF!</v>
      </c>
      <c r="Q31" s="12" t="e">
        <f>VLOOKUP($B31,#REF!,Q$1,FALSE)</f>
        <v>#REF!</v>
      </c>
      <c r="R31" s="12" t="e">
        <f>VLOOKUP($B31,#REF!,R$1,FALSE)</f>
        <v>#REF!</v>
      </c>
      <c r="S31" s="12" t="e">
        <f>VLOOKUP($B31,#REF!,S$1,FALSE)</f>
        <v>#REF!</v>
      </c>
      <c r="T31" s="11" t="s">
        <v>138</v>
      </c>
      <c r="U31" s="23"/>
      <c r="V31" s="4"/>
      <c r="W31" s="4"/>
      <c r="X31" s="6" t="e">
        <f t="shared" si="3"/>
        <v>#REF!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:41" ht="15.75" customHeight="1">
      <c r="A32" s="18" t="s">
        <v>139</v>
      </c>
      <c r="B32" s="11" t="s">
        <v>140</v>
      </c>
      <c r="C32" s="12" t="s">
        <v>141</v>
      </c>
      <c r="D32" s="12" t="e">
        <f t="shared" si="2"/>
        <v>#REF!</v>
      </c>
      <c r="E32" s="11">
        <v>13.45</v>
      </c>
      <c r="F32" s="11"/>
      <c r="G32" s="12" t="e">
        <f>SUBSTITUTE(VLOOKUP($B32,#REF!,G$1,FALSE),",", ".")</f>
        <v>#REF!</v>
      </c>
      <c r="H32" s="13">
        <v>0.01</v>
      </c>
      <c r="I32" s="11" t="s">
        <v>142</v>
      </c>
      <c r="J32" s="11" t="s">
        <v>34</v>
      </c>
      <c r="K32" s="17" t="s">
        <v>143</v>
      </c>
      <c r="L32" s="12" t="e">
        <f>VLOOKUP($B32,#REF!,L$1,FALSE)</f>
        <v>#REF!</v>
      </c>
      <c r="M32" s="12" t="e">
        <f>VLOOKUP($B32,#REF!,M$1,FALSE)</f>
        <v>#REF!</v>
      </c>
      <c r="N32" s="12" t="e">
        <f>VLOOKUP($B32,#REF!,N$1,FALSE)</f>
        <v>#REF!</v>
      </c>
      <c r="O32" s="12" t="e">
        <f>VLOOKUP($B32,#REF!,O$1,FALSE)</f>
        <v>#REF!</v>
      </c>
      <c r="P32" s="12" t="e">
        <f>VLOOKUP($B32,#REF!,P$1,FALSE)</f>
        <v>#REF!</v>
      </c>
      <c r="Q32" s="12" t="e">
        <f>VLOOKUP($B32,#REF!,Q$1,FALSE)</f>
        <v>#REF!</v>
      </c>
      <c r="R32" s="12" t="e">
        <f>VLOOKUP($B32,#REF!,R$1,FALSE)</f>
        <v>#REF!</v>
      </c>
      <c r="S32" s="12" t="e">
        <f>VLOOKUP($B32,#REF!,S$1,FALSE)</f>
        <v>#REF!</v>
      </c>
      <c r="T32" s="13">
        <v>-0.13009999999999999</v>
      </c>
      <c r="U32" s="15" t="s">
        <v>144</v>
      </c>
      <c r="V32" s="5">
        <v>-16</v>
      </c>
      <c r="W32" s="4">
        <v>-16.7</v>
      </c>
      <c r="X32" s="6" t="e">
        <f t="shared" si="3"/>
        <v>#REF!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:41" ht="15.75" customHeight="1">
      <c r="A33" s="20" t="s">
        <v>145</v>
      </c>
      <c r="B33" s="13" t="s">
        <v>146</v>
      </c>
      <c r="C33" s="12" t="s">
        <v>141</v>
      </c>
      <c r="D33" s="12" t="e">
        <f t="shared" si="2"/>
        <v>#REF!</v>
      </c>
      <c r="E33" s="11">
        <v>27.09</v>
      </c>
      <c r="F33" s="11"/>
      <c r="G33" s="12" t="e">
        <f>SUBSTITUTE(VLOOKUP($B33,#REF!,G$1,FALSE),",", ".")</f>
        <v>#REF!</v>
      </c>
      <c r="H33" s="13">
        <v>1.47E-2</v>
      </c>
      <c r="I33" s="11" t="s">
        <v>147</v>
      </c>
      <c r="J33" s="13" t="s">
        <v>26</v>
      </c>
      <c r="K33" s="17" t="s">
        <v>148</v>
      </c>
      <c r="L33" s="12" t="e">
        <f>VLOOKUP($B33,#REF!,L$1,FALSE)</f>
        <v>#REF!</v>
      </c>
      <c r="M33" s="12" t="e">
        <f>VLOOKUP($B33,#REF!,M$1,FALSE)</f>
        <v>#REF!</v>
      </c>
      <c r="N33" s="12" t="e">
        <f>VLOOKUP($B33,#REF!,N$1,FALSE)</f>
        <v>#REF!</v>
      </c>
      <c r="O33" s="12" t="e">
        <f>VLOOKUP($B33,#REF!,O$1,FALSE)</f>
        <v>#REF!</v>
      </c>
      <c r="P33" s="12" t="e">
        <f>VLOOKUP($B33,#REF!,P$1,FALSE)</f>
        <v>#REF!</v>
      </c>
      <c r="Q33" s="12" t="e">
        <f>VLOOKUP($B33,#REF!,Q$1,FALSE)</f>
        <v>#REF!</v>
      </c>
      <c r="R33" s="12" t="e">
        <f>VLOOKUP($B33,#REF!,R$1,FALSE)</f>
        <v>#REF!</v>
      </c>
      <c r="S33" s="12" t="e">
        <f>VLOOKUP($B33,#REF!,S$1,FALSE)</f>
        <v>#REF!</v>
      </c>
      <c r="T33" s="13">
        <v>-3.85E-2</v>
      </c>
      <c r="U33" s="23"/>
      <c r="V33" s="4">
        <v>-19.5</v>
      </c>
      <c r="W33" s="4">
        <v>-7.3</v>
      </c>
      <c r="X33" s="6" t="e">
        <f t="shared" si="3"/>
        <v>#REF!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ht="15.75" customHeight="1">
      <c r="A34" s="20" t="s">
        <v>149</v>
      </c>
      <c r="B34" s="11" t="s">
        <v>150</v>
      </c>
      <c r="C34" s="12" t="s">
        <v>141</v>
      </c>
      <c r="D34" s="12" t="e">
        <f t="shared" si="2"/>
        <v>#REF!</v>
      </c>
      <c r="E34" s="11">
        <v>11.997</v>
      </c>
      <c r="F34" s="11"/>
      <c r="G34" s="12" t="e">
        <f>SUBSTITUTE(VLOOKUP($B34,#REF!,G$1,FALSE),",", ".")</f>
        <v>#REF!</v>
      </c>
      <c r="H34" s="13">
        <v>1.35E-2</v>
      </c>
      <c r="I34" s="11" t="s">
        <v>151</v>
      </c>
      <c r="J34" s="11" t="s">
        <v>34</v>
      </c>
      <c r="K34" s="17" t="s">
        <v>152</v>
      </c>
      <c r="L34" s="12" t="e">
        <f>VLOOKUP($B34,#REF!,L$1,FALSE)</f>
        <v>#REF!</v>
      </c>
      <c r="M34" s="12" t="e">
        <f>VLOOKUP($B34,#REF!,M$1,FALSE)</f>
        <v>#REF!</v>
      </c>
      <c r="N34" s="12" t="e">
        <f>VLOOKUP($B34,#REF!,N$1,FALSE)</f>
        <v>#REF!</v>
      </c>
      <c r="O34" s="12" t="e">
        <f>VLOOKUP($B34,#REF!,O$1,FALSE)</f>
        <v>#REF!</v>
      </c>
      <c r="P34" s="12" t="e">
        <f>VLOOKUP($B34,#REF!,P$1,FALSE)</f>
        <v>#REF!</v>
      </c>
      <c r="Q34" s="12" t="e">
        <f>VLOOKUP($B34,#REF!,Q$1,FALSE)</f>
        <v>#REF!</v>
      </c>
      <c r="R34" s="12" t="e">
        <f>VLOOKUP($B34,#REF!,R$1,FALSE)</f>
        <v>#REF!</v>
      </c>
      <c r="S34" s="12" t="e">
        <f>VLOOKUP($B34,#REF!,S$1,FALSE)</f>
        <v>#REF!</v>
      </c>
      <c r="T34" s="13">
        <v>-0.1132</v>
      </c>
      <c r="U34" s="15"/>
      <c r="V34" s="4">
        <v>-23.9</v>
      </c>
      <c r="W34" s="4">
        <v>-17.2</v>
      </c>
      <c r="X34" s="6" t="e">
        <f t="shared" si="3"/>
        <v>#REF!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:41" ht="15.75" customHeight="1">
      <c r="A35" s="18" t="s">
        <v>153</v>
      </c>
      <c r="B35" s="22" t="s">
        <v>154</v>
      </c>
      <c r="C35" s="12" t="s">
        <v>141</v>
      </c>
      <c r="D35" s="12" t="e">
        <f t="shared" si="2"/>
        <v>#REF!</v>
      </c>
      <c r="E35" s="11">
        <v>161.214</v>
      </c>
      <c r="F35" s="11"/>
      <c r="G35" s="12" t="e">
        <f>SUBSTITUTE(VLOOKUP($B35,#REF!,G$1,FALSE),",", ".")</f>
        <v>#REF!</v>
      </c>
      <c r="H35" s="13">
        <v>0.01</v>
      </c>
      <c r="I35" s="11" t="s">
        <v>155</v>
      </c>
      <c r="J35" s="11" t="s">
        <v>26</v>
      </c>
      <c r="K35" s="17" t="s">
        <v>156</v>
      </c>
      <c r="L35" s="12" t="e">
        <f>VLOOKUP($B35,#REF!,L$1,FALSE)</f>
        <v>#REF!</v>
      </c>
      <c r="M35" s="12" t="e">
        <f>VLOOKUP($B35,#REF!,M$1,FALSE)</f>
        <v>#REF!</v>
      </c>
      <c r="N35" s="12" t="e">
        <f>VLOOKUP($B35,#REF!,N$1,FALSE)</f>
        <v>#REF!</v>
      </c>
      <c r="O35" s="12" t="e">
        <f>VLOOKUP($B35,#REF!,O$1,FALSE)</f>
        <v>#REF!</v>
      </c>
      <c r="P35" s="12" t="e">
        <f>VLOOKUP($B35,#REF!,P$1,FALSE)</f>
        <v>#REF!</v>
      </c>
      <c r="Q35" s="12" t="e">
        <f>VLOOKUP($B35,#REF!,Q$1,FALSE)</f>
        <v>#REF!</v>
      </c>
      <c r="R35" s="12" t="e">
        <f>VLOOKUP($B35,#REF!,R$1,FALSE)</f>
        <v>#REF!</v>
      </c>
      <c r="S35" s="12" t="e">
        <f>VLOOKUP($B35,#REF!,S$1,FALSE)</f>
        <v>#REF!</v>
      </c>
      <c r="T35" s="13">
        <v>-3.3099999999999997E-2</v>
      </c>
      <c r="U35" s="15"/>
      <c r="V35" s="4">
        <v>-19.600000000000001</v>
      </c>
      <c r="W35" s="4">
        <v>-7.3</v>
      </c>
      <c r="X35" s="6" t="e">
        <f t="shared" si="3"/>
        <v>#REF!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 ht="15.75" customHeight="1">
      <c r="A36" s="13" t="s">
        <v>157</v>
      </c>
      <c r="B36" s="11" t="s">
        <v>158</v>
      </c>
      <c r="C36" s="13"/>
      <c r="D36" s="13"/>
      <c r="E36" s="13"/>
      <c r="F36" s="13"/>
      <c r="G36" s="12" t="e">
        <f>SUBSTITUTE(VLOOKUP($B36,#REF!,G$1,FALSE),",", ".")</f>
        <v>#REF!</v>
      </c>
      <c r="H36" s="13">
        <v>1.5E-3</v>
      </c>
      <c r="I36" s="11" t="s">
        <v>159</v>
      </c>
      <c r="J36" s="11" t="s">
        <v>26</v>
      </c>
      <c r="K36" s="17" t="s">
        <v>160</v>
      </c>
      <c r="L36" s="12" t="e">
        <f>VLOOKUP($B36,#REF!,L$1,FALSE)</f>
        <v>#REF!</v>
      </c>
      <c r="M36" s="12" t="e">
        <f>VLOOKUP($B36,#REF!,M$1,FALSE)</f>
        <v>#REF!</v>
      </c>
      <c r="N36" s="12" t="e">
        <f>VLOOKUP($B36,#REF!,N$1,FALSE)</f>
        <v>#REF!</v>
      </c>
      <c r="O36" s="12" t="e">
        <f>VLOOKUP($B36,#REF!,O$1,FALSE)</f>
        <v>#REF!</v>
      </c>
      <c r="P36" s="12" t="e">
        <f>VLOOKUP($B36,#REF!,P$1,FALSE)</f>
        <v>#REF!</v>
      </c>
      <c r="Q36" s="12" t="e">
        <f>VLOOKUP($B36,#REF!,Q$1,FALSE)</f>
        <v>#REF!</v>
      </c>
      <c r="R36" s="12" t="e">
        <f>VLOOKUP($B36,#REF!,R$1,FALSE)</f>
        <v>#REF!</v>
      </c>
      <c r="S36" s="12" t="e">
        <f>VLOOKUP($B36,#REF!,S$1,FALSE)</f>
        <v>#REF!</v>
      </c>
      <c r="T36" s="13">
        <v>-0.13289999999999999</v>
      </c>
      <c r="U36" s="15"/>
      <c r="V36" s="4"/>
      <c r="W36" s="5"/>
      <c r="X36" s="6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ht="15.75" customHeight="1">
      <c r="A37" s="13" t="s">
        <v>161</v>
      </c>
      <c r="B37" s="13" t="s">
        <v>162</v>
      </c>
      <c r="C37" s="13"/>
      <c r="D37" s="13"/>
      <c r="E37" s="13"/>
      <c r="F37" s="13"/>
      <c r="G37" s="12" t="e">
        <f>SUBSTITUTE(VLOOKUP($B37,#REF!,G$1,FALSE),",", ".")</f>
        <v>#REF!</v>
      </c>
      <c r="H37" s="13">
        <v>1.1999999999999999E-3</v>
      </c>
      <c r="I37" s="13" t="s">
        <v>163</v>
      </c>
      <c r="J37" s="13" t="s">
        <v>26</v>
      </c>
      <c r="K37" s="17" t="s">
        <v>164</v>
      </c>
      <c r="L37" s="12" t="e">
        <f>VLOOKUP($B37,#REF!,L$1,FALSE)</f>
        <v>#REF!</v>
      </c>
      <c r="M37" s="12" t="e">
        <f>VLOOKUP($B37,#REF!,M$1,FALSE)</f>
        <v>#REF!</v>
      </c>
      <c r="N37" s="12" t="e">
        <f>VLOOKUP($B37,#REF!,N$1,FALSE)</f>
        <v>#REF!</v>
      </c>
      <c r="O37" s="12" t="e">
        <f>VLOOKUP($B37,#REF!,O$1,FALSE)</f>
        <v>#REF!</v>
      </c>
      <c r="P37" s="12" t="e">
        <f>VLOOKUP($B37,#REF!,P$1,FALSE)</f>
        <v>#REF!</v>
      </c>
      <c r="Q37" s="12" t="e">
        <f>VLOOKUP($B37,#REF!,Q$1,FALSE)</f>
        <v>#REF!</v>
      </c>
      <c r="R37" s="12" t="e">
        <f>VLOOKUP($B37,#REF!,R$1,FALSE)</f>
        <v>#REF!</v>
      </c>
      <c r="S37" s="12" t="e">
        <f>VLOOKUP($B37,#REF!,S$1,FALSE)</f>
        <v>#REF!</v>
      </c>
      <c r="T37" s="13">
        <v>-0.14580000000000001</v>
      </c>
      <c r="U37" s="23"/>
      <c r="V37" s="4"/>
      <c r="W37" s="4"/>
      <c r="X37" s="6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ht="15.75" customHeight="1">
      <c r="A38" s="13" t="s">
        <v>165</v>
      </c>
      <c r="B38" s="13" t="s">
        <v>166</v>
      </c>
      <c r="C38" s="13"/>
      <c r="D38" s="13"/>
      <c r="E38" s="13"/>
      <c r="F38" s="13"/>
      <c r="G38" s="12" t="e">
        <f>SUBSTITUTE(VLOOKUP($B38,#REF!,G$1,FALSE),",", ".")</f>
        <v>#REF!</v>
      </c>
      <c r="H38" s="13">
        <v>1.5E-3</v>
      </c>
      <c r="I38" s="13" t="s">
        <v>167</v>
      </c>
      <c r="J38" s="13" t="s">
        <v>26</v>
      </c>
      <c r="K38" s="17" t="s">
        <v>168</v>
      </c>
      <c r="L38" s="12" t="e">
        <f>VLOOKUP($B38,#REF!,L$1,FALSE)</f>
        <v>#REF!</v>
      </c>
      <c r="M38" s="12" t="e">
        <f>VLOOKUP($B38,#REF!,M$1,FALSE)</f>
        <v>#REF!</v>
      </c>
      <c r="N38" s="12" t="e">
        <f>VLOOKUP($B38,#REF!,N$1,FALSE)</f>
        <v>#REF!</v>
      </c>
      <c r="O38" s="12" t="e">
        <f>VLOOKUP($B38,#REF!,O$1,FALSE)</f>
        <v>#REF!</v>
      </c>
      <c r="P38" s="12" t="e">
        <f>VLOOKUP($B38,#REF!,P$1,FALSE)</f>
        <v>#REF!</v>
      </c>
      <c r="Q38" s="12" t="e">
        <f>VLOOKUP($B38,#REF!,Q$1,FALSE)</f>
        <v>#REF!</v>
      </c>
      <c r="R38" s="12" t="e">
        <f>VLOOKUP($B38,#REF!,R$1,FALSE)</f>
        <v>#REF!</v>
      </c>
      <c r="S38" s="12" t="e">
        <f>VLOOKUP($B38,#REF!,S$1,FALSE)</f>
        <v>#REF!</v>
      </c>
      <c r="T38" s="13">
        <v>-0.15060000000000001</v>
      </c>
      <c r="U38" s="23"/>
      <c r="V38" s="4"/>
      <c r="W38" s="4"/>
      <c r="X38" s="6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ht="15.75" customHeight="1">
      <c r="A39" s="11" t="s">
        <v>169</v>
      </c>
      <c r="B39" s="11" t="s">
        <v>170</v>
      </c>
      <c r="C39" s="12"/>
      <c r="D39" s="12"/>
      <c r="E39" s="13"/>
      <c r="F39" s="13"/>
      <c r="G39" s="12" t="e">
        <f>SUBSTITUTE(VLOOKUP($B39,#REF!,G$1,FALSE),",", ".")</f>
        <v>#REF!</v>
      </c>
      <c r="H39" s="13"/>
      <c r="I39" s="11"/>
      <c r="J39" s="13"/>
      <c r="K39" s="15"/>
      <c r="L39" s="12" t="e">
        <f>VLOOKUP($B39,#REF!,L$1,FALSE)</f>
        <v>#REF!</v>
      </c>
      <c r="M39" s="12" t="e">
        <f>VLOOKUP($B39,#REF!,M$1,FALSE)</f>
        <v>#REF!</v>
      </c>
      <c r="N39" s="12" t="e">
        <f>VLOOKUP($B39,#REF!,N$1,FALSE)</f>
        <v>#REF!</v>
      </c>
      <c r="O39" s="12" t="e">
        <f>VLOOKUP($B39,#REF!,O$1,FALSE)</f>
        <v>#REF!</v>
      </c>
      <c r="P39" s="12" t="e">
        <f>VLOOKUP($B39,#REF!,P$1,FALSE)</f>
        <v>#REF!</v>
      </c>
      <c r="Q39" s="12" t="e">
        <f>VLOOKUP($B39,#REF!,Q$1,FALSE)</f>
        <v>#REF!</v>
      </c>
      <c r="R39" s="12" t="e">
        <f>VLOOKUP($B39,#REF!,R$1,FALSE)</f>
        <v>#REF!</v>
      </c>
      <c r="S39" s="12" t="e">
        <f>VLOOKUP($B39,#REF!,S$1,FALSE)</f>
        <v>#REF!</v>
      </c>
      <c r="T39" s="11"/>
      <c r="U39" s="15"/>
      <c r="V39" s="4"/>
      <c r="W39" s="4"/>
      <c r="X39" s="6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ht="15.75" customHeight="1">
      <c r="A40" s="11" t="s">
        <v>171</v>
      </c>
      <c r="B40" s="11" t="s">
        <v>172</v>
      </c>
      <c r="C40" s="12"/>
      <c r="D40" s="12"/>
      <c r="E40" s="13"/>
      <c r="F40" s="13"/>
      <c r="G40" s="12" t="e">
        <f>SUBSTITUTE(VLOOKUP($B40,#REF!,G$1,FALSE),",", ".")</f>
        <v>#REF!</v>
      </c>
      <c r="H40" s="13">
        <v>1.55E-2</v>
      </c>
      <c r="I40" s="11" t="s">
        <v>173</v>
      </c>
      <c r="J40" s="13" t="s">
        <v>26</v>
      </c>
      <c r="K40" s="17" t="s">
        <v>174</v>
      </c>
      <c r="L40" s="12" t="e">
        <f>VLOOKUP($B40,#REF!,L$1,FALSE)</f>
        <v>#REF!</v>
      </c>
      <c r="M40" s="12" t="e">
        <f>VLOOKUP($B40,#REF!,M$1,FALSE)</f>
        <v>#REF!</v>
      </c>
      <c r="N40" s="12" t="e">
        <f>VLOOKUP($B40,#REF!,N$1,FALSE)</f>
        <v>#REF!</v>
      </c>
      <c r="O40" s="12" t="e">
        <f>VLOOKUP($B40,#REF!,O$1,FALSE)</f>
        <v>#REF!</v>
      </c>
      <c r="P40" s="12" t="e">
        <f>VLOOKUP($B40,#REF!,P$1,FALSE)</f>
        <v>#REF!</v>
      </c>
      <c r="Q40" s="12" t="e">
        <f>VLOOKUP($B40,#REF!,Q$1,FALSE)</f>
        <v>#REF!</v>
      </c>
      <c r="R40" s="12" t="e">
        <f>VLOOKUP($B40,#REF!,R$1,FALSE)</f>
        <v>#REF!</v>
      </c>
      <c r="S40" s="12" t="e">
        <f>VLOOKUP($B40,#REF!,S$1,FALSE)</f>
        <v>#REF!</v>
      </c>
      <c r="T40" s="11"/>
      <c r="U40" s="15" t="s">
        <v>175</v>
      </c>
      <c r="V40" s="4"/>
      <c r="W40" s="4"/>
      <c r="X40" s="6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ht="15.75" customHeight="1">
      <c r="A41" s="13" t="s">
        <v>176</v>
      </c>
      <c r="B41" s="11" t="s">
        <v>177</v>
      </c>
      <c r="C41" s="12"/>
      <c r="D41" s="12"/>
      <c r="E41" s="13"/>
      <c r="F41" s="13"/>
      <c r="G41" s="12" t="e">
        <f>SUBSTITUTE(VLOOKUP($B41,#REF!,G$1,FALSE),",", ".")</f>
        <v>#REF!</v>
      </c>
      <c r="H41" s="13">
        <v>1.4500000000000001E-2</v>
      </c>
      <c r="I41" s="11" t="s">
        <v>178</v>
      </c>
      <c r="J41" s="13" t="s">
        <v>26</v>
      </c>
      <c r="K41" s="17" t="s">
        <v>179</v>
      </c>
      <c r="L41" s="12" t="e">
        <f>VLOOKUP($B41,#REF!,L$1,FALSE)</f>
        <v>#REF!</v>
      </c>
      <c r="M41" s="12" t="e">
        <f>VLOOKUP($B41,#REF!,M$1,FALSE)</f>
        <v>#REF!</v>
      </c>
      <c r="N41" s="12" t="e">
        <f>VLOOKUP($B41,#REF!,N$1,FALSE)</f>
        <v>#REF!</v>
      </c>
      <c r="O41" s="12" t="e">
        <f>VLOOKUP($B41,#REF!,O$1,FALSE)</f>
        <v>#REF!</v>
      </c>
      <c r="P41" s="12" t="e">
        <f>VLOOKUP($B41,#REF!,P$1,FALSE)</f>
        <v>#REF!</v>
      </c>
      <c r="Q41" s="12" t="e">
        <f>VLOOKUP($B41,#REF!,Q$1,FALSE)</f>
        <v>#REF!</v>
      </c>
      <c r="R41" s="12" t="e">
        <f>VLOOKUP($B41,#REF!,R$1,FALSE)</f>
        <v>#REF!</v>
      </c>
      <c r="S41" s="12" t="e">
        <f>VLOOKUP($B41,#REF!,S$1,FALSE)</f>
        <v>#REF!</v>
      </c>
      <c r="T41" s="11" t="s">
        <v>138</v>
      </c>
      <c r="U41" s="15" t="s">
        <v>180</v>
      </c>
      <c r="V41" s="4"/>
      <c r="W41" s="4"/>
      <c r="X41" s="6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ht="15.75" customHeight="1">
      <c r="A42" s="26" t="s">
        <v>181</v>
      </c>
      <c r="B42" s="11" t="s">
        <v>182</v>
      </c>
      <c r="C42" s="12"/>
      <c r="D42" s="12"/>
      <c r="E42" s="13"/>
      <c r="F42" s="13"/>
      <c r="G42" s="12" t="e">
        <f>SUBSTITUTE(VLOOKUP($B42,#REF!,G$1,FALSE),",", ".")</f>
        <v>#REF!</v>
      </c>
      <c r="H42" s="13" t="s">
        <v>183</v>
      </c>
      <c r="I42" s="11" t="s">
        <v>184</v>
      </c>
      <c r="J42" s="11" t="s">
        <v>26</v>
      </c>
      <c r="K42" s="17" t="s">
        <v>185</v>
      </c>
      <c r="L42" s="12" t="e">
        <f>VLOOKUP($B42,#REF!,L$1,FALSE)</f>
        <v>#REF!</v>
      </c>
      <c r="M42" s="12" t="e">
        <f>VLOOKUP($B42,#REF!,M$1,FALSE)</f>
        <v>#REF!</v>
      </c>
      <c r="N42" s="12" t="e">
        <f>VLOOKUP($B42,#REF!,N$1,FALSE)</f>
        <v>#REF!</v>
      </c>
      <c r="O42" s="12" t="e">
        <f>VLOOKUP($B42,#REF!,O$1,FALSE)</f>
        <v>#REF!</v>
      </c>
      <c r="P42" s="12" t="e">
        <f>VLOOKUP($B42,#REF!,P$1,FALSE)</f>
        <v>#REF!</v>
      </c>
      <c r="Q42" s="12" t="e">
        <f>VLOOKUP($B42,#REF!,Q$1,FALSE)</f>
        <v>#REF!</v>
      </c>
      <c r="R42" s="12" t="e">
        <f>VLOOKUP($B42,#REF!,R$1,FALSE)</f>
        <v>#REF!</v>
      </c>
      <c r="S42" s="12" t="e">
        <f>VLOOKUP($B42,#REF!,S$1,FALSE)</f>
        <v>#REF!</v>
      </c>
      <c r="T42" s="13">
        <v>-8.6199999999999999E-2</v>
      </c>
      <c r="U42" s="15"/>
      <c r="V42" s="4"/>
      <c r="W42" s="4"/>
      <c r="X42" s="6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ht="15.75" customHeight="1">
      <c r="A43" s="11" t="s">
        <v>186</v>
      </c>
      <c r="B43" s="11" t="s">
        <v>187</v>
      </c>
      <c r="C43" s="12"/>
      <c r="D43" s="12"/>
      <c r="E43" s="13"/>
      <c r="F43" s="13"/>
      <c r="G43" s="12" t="e">
        <f>SUBSTITUTE(VLOOKUP($B43,#REF!,G$1,FALSE),",", ".")</f>
        <v>#REF!</v>
      </c>
      <c r="H43" s="13">
        <v>1.2999999999999999E-2</v>
      </c>
      <c r="I43" s="11" t="s">
        <v>188</v>
      </c>
      <c r="J43" s="11" t="s">
        <v>34</v>
      </c>
      <c r="K43" s="17" t="s">
        <v>189</v>
      </c>
      <c r="L43" s="12" t="e">
        <f>VLOOKUP($B43,#REF!,L$1,FALSE)</f>
        <v>#REF!</v>
      </c>
      <c r="M43" s="12" t="e">
        <f>VLOOKUP($B43,#REF!,M$1,FALSE)</f>
        <v>#REF!</v>
      </c>
      <c r="N43" s="12" t="e">
        <f>VLOOKUP($B43,#REF!,N$1,FALSE)</f>
        <v>#REF!</v>
      </c>
      <c r="O43" s="12" t="e">
        <f>VLOOKUP($B43,#REF!,O$1,FALSE)</f>
        <v>#REF!</v>
      </c>
      <c r="P43" s="12" t="e">
        <f>VLOOKUP($B43,#REF!,P$1,FALSE)</f>
        <v>#REF!</v>
      </c>
      <c r="Q43" s="12" t="e">
        <f>VLOOKUP($B43,#REF!,Q$1,FALSE)</f>
        <v>#REF!</v>
      </c>
      <c r="R43" s="12" t="e">
        <f>VLOOKUP($B43,#REF!,R$1,FALSE)</f>
        <v>#REF!</v>
      </c>
      <c r="S43" s="12" t="e">
        <f>VLOOKUP($B43,#REF!,S$1,FALSE)</f>
        <v>#REF!</v>
      </c>
      <c r="T43" s="13">
        <v>-0.1037</v>
      </c>
      <c r="U43" s="15"/>
      <c r="V43" s="4"/>
      <c r="W43" s="4"/>
      <c r="X43" s="6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ht="15.75" customHeight="1">
      <c r="A44" s="11" t="s">
        <v>190</v>
      </c>
      <c r="B44" s="11" t="s">
        <v>191</v>
      </c>
      <c r="C44" s="12"/>
      <c r="D44" s="12"/>
      <c r="E44" s="13"/>
      <c r="F44" s="13"/>
      <c r="G44" s="12" t="e">
        <f>SUBSTITUTE(VLOOKUP($B44,#REF!,G$1,FALSE),",", ".")</f>
        <v>#REF!</v>
      </c>
      <c r="H44" s="13">
        <v>1.2999999999999999E-2</v>
      </c>
      <c r="I44" s="11" t="s">
        <v>173</v>
      </c>
      <c r="J44" s="11" t="s">
        <v>34</v>
      </c>
      <c r="K44" s="17" t="s">
        <v>192</v>
      </c>
      <c r="L44" s="12" t="e">
        <f>VLOOKUP($B44,#REF!,L$1,FALSE)</f>
        <v>#REF!</v>
      </c>
      <c r="M44" s="12" t="e">
        <f>VLOOKUP($B44,#REF!,M$1,FALSE)</f>
        <v>#REF!</v>
      </c>
      <c r="N44" s="12" t="e">
        <f>VLOOKUP($B44,#REF!,N$1,FALSE)</f>
        <v>#REF!</v>
      </c>
      <c r="O44" s="12" t="e">
        <f>VLOOKUP($B44,#REF!,O$1,FALSE)</f>
        <v>#REF!</v>
      </c>
      <c r="P44" s="12" t="e">
        <f>VLOOKUP($B44,#REF!,P$1,FALSE)</f>
        <v>#REF!</v>
      </c>
      <c r="Q44" s="12" t="e">
        <f>VLOOKUP($B44,#REF!,Q$1,FALSE)</f>
        <v>#REF!</v>
      </c>
      <c r="R44" s="12" t="e">
        <f>VLOOKUP($B44,#REF!,R$1,FALSE)</f>
        <v>#REF!</v>
      </c>
      <c r="S44" s="12" t="e">
        <f>VLOOKUP($B44,#REF!,S$1,FALSE)</f>
        <v>#REF!</v>
      </c>
      <c r="T44" s="13">
        <v>-0.16950000000000001</v>
      </c>
      <c r="U44" s="15"/>
      <c r="V44" s="4"/>
      <c r="W44" s="4"/>
      <c r="X44" s="6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ht="15.75" customHeight="1">
      <c r="A45" s="11" t="s">
        <v>193</v>
      </c>
      <c r="B45" s="11" t="s">
        <v>194</v>
      </c>
      <c r="C45" s="12"/>
      <c r="D45" s="12"/>
      <c r="E45" s="13"/>
      <c r="F45" s="13"/>
      <c r="G45" s="12" t="e">
        <f>SUBSTITUTE(VLOOKUP($B45,#REF!,G$1,FALSE),",", ".")</f>
        <v>#REF!</v>
      </c>
      <c r="H45" s="13">
        <v>1.2500000000000001E-2</v>
      </c>
      <c r="I45" s="11" t="s">
        <v>147</v>
      </c>
      <c r="J45" s="11" t="s">
        <v>26</v>
      </c>
      <c r="K45" s="17" t="s">
        <v>195</v>
      </c>
      <c r="L45" s="12" t="e">
        <f>VLOOKUP($B45,#REF!,L$1,FALSE)</f>
        <v>#REF!</v>
      </c>
      <c r="M45" s="12" t="e">
        <f>VLOOKUP($B45,#REF!,M$1,FALSE)</f>
        <v>#REF!</v>
      </c>
      <c r="N45" s="12" t="e">
        <f>VLOOKUP($B45,#REF!,N$1,FALSE)</f>
        <v>#REF!</v>
      </c>
      <c r="O45" s="12" t="e">
        <f>VLOOKUP($B45,#REF!,O$1,FALSE)</f>
        <v>#REF!</v>
      </c>
      <c r="P45" s="12" t="e">
        <f>VLOOKUP($B45,#REF!,P$1,FALSE)</f>
        <v>#REF!</v>
      </c>
      <c r="Q45" s="12" t="e">
        <f>VLOOKUP($B45,#REF!,Q$1,FALSE)</f>
        <v>#REF!</v>
      </c>
      <c r="R45" s="12" t="e">
        <f>VLOOKUP($B45,#REF!,R$1,FALSE)</f>
        <v>#REF!</v>
      </c>
      <c r="S45" s="12" t="e">
        <f>VLOOKUP($B45,#REF!,S$1,FALSE)</f>
        <v>#REF!</v>
      </c>
      <c r="T45" s="13"/>
      <c r="U45" s="15" t="s">
        <v>196</v>
      </c>
      <c r="V45" s="5"/>
      <c r="W45" s="5"/>
      <c r="X45" s="6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ht="15.75" customHeight="1">
      <c r="A46" s="11" t="s">
        <v>197</v>
      </c>
      <c r="B46" s="11" t="s">
        <v>198</v>
      </c>
      <c r="C46" s="12"/>
      <c r="D46" s="12"/>
      <c r="E46" s="13"/>
      <c r="F46" s="13"/>
      <c r="G46" s="12" t="e">
        <f>SUBSTITUTE(VLOOKUP($B46,#REF!,G$1,FALSE),",", ".")</f>
        <v>#REF!</v>
      </c>
      <c r="H46" s="13">
        <v>1.035E-2</v>
      </c>
      <c r="I46" s="11" t="s">
        <v>199</v>
      </c>
      <c r="J46" s="11" t="s">
        <v>26</v>
      </c>
      <c r="K46" s="17" t="s">
        <v>200</v>
      </c>
      <c r="L46" s="12" t="e">
        <f>VLOOKUP($B46,#REF!,L$1,FALSE)</f>
        <v>#REF!</v>
      </c>
      <c r="M46" s="12" t="e">
        <f>VLOOKUP($B46,#REF!,M$1,FALSE)</f>
        <v>#REF!</v>
      </c>
      <c r="N46" s="12" t="e">
        <f>VLOOKUP($B46,#REF!,N$1,FALSE)</f>
        <v>#REF!</v>
      </c>
      <c r="O46" s="12" t="e">
        <f>VLOOKUP($B46,#REF!,O$1,FALSE)</f>
        <v>#REF!</v>
      </c>
      <c r="P46" s="12" t="e">
        <f>VLOOKUP($B46,#REF!,P$1,FALSE)</f>
        <v>#REF!</v>
      </c>
      <c r="Q46" s="12" t="e">
        <f>VLOOKUP($B46,#REF!,Q$1,FALSE)</f>
        <v>#REF!</v>
      </c>
      <c r="R46" s="12" t="e">
        <f>VLOOKUP($B46,#REF!,R$1,FALSE)</f>
        <v>#REF!</v>
      </c>
      <c r="S46" s="12" t="e">
        <f>VLOOKUP($B46,#REF!,S$1,FALSE)</f>
        <v>#REF!</v>
      </c>
      <c r="T46" s="13">
        <v>-7.1900000000000006E-2</v>
      </c>
      <c r="U46" s="15"/>
      <c r="V46" s="4"/>
      <c r="W46" s="4"/>
      <c r="X46" s="6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ht="15.75" customHeight="1">
      <c r="A47" s="11" t="s">
        <v>201</v>
      </c>
      <c r="B47" s="11" t="s">
        <v>202</v>
      </c>
      <c r="C47" s="12"/>
      <c r="D47" s="12"/>
      <c r="E47" s="11"/>
      <c r="F47" s="11"/>
      <c r="G47" s="12" t="e">
        <f>SUBSTITUTE(VLOOKUP($B47,#REF!,G$1,FALSE),",", ".")</f>
        <v>#REF!</v>
      </c>
      <c r="H47" s="11" t="s">
        <v>203</v>
      </c>
      <c r="I47" s="11" t="s">
        <v>151</v>
      </c>
      <c r="J47" s="11" t="s">
        <v>34</v>
      </c>
      <c r="K47" s="17" t="s">
        <v>204</v>
      </c>
      <c r="L47" s="12" t="e">
        <f>VLOOKUP($B47,#REF!,L$1,FALSE)</f>
        <v>#REF!</v>
      </c>
      <c r="M47" s="12" t="e">
        <f>VLOOKUP($B47,#REF!,M$1,FALSE)</f>
        <v>#REF!</v>
      </c>
      <c r="N47" s="12" t="e">
        <f>VLOOKUP($B47,#REF!,N$1,FALSE)</f>
        <v>#REF!</v>
      </c>
      <c r="O47" s="12" t="e">
        <f>VLOOKUP($B47,#REF!,O$1,FALSE)</f>
        <v>#REF!</v>
      </c>
      <c r="P47" s="12" t="e">
        <f>VLOOKUP($B47,#REF!,P$1,FALSE)</f>
        <v>#REF!</v>
      </c>
      <c r="Q47" s="12" t="e">
        <f>VLOOKUP($B47,#REF!,Q$1,FALSE)</f>
        <v>#REF!</v>
      </c>
      <c r="R47" s="12" t="e">
        <f>VLOOKUP($B47,#REF!,R$1,FALSE)</f>
        <v>#REF!</v>
      </c>
      <c r="S47" s="12" t="e">
        <f>VLOOKUP($B47,#REF!,S$1,FALSE)</f>
        <v>#REF!</v>
      </c>
      <c r="T47" s="13">
        <v>-0.12859999999999999</v>
      </c>
      <c r="U47" s="15"/>
      <c r="V47" s="4"/>
      <c r="W47" s="4"/>
      <c r="X47" s="6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ht="15.75" customHeight="1">
      <c r="A48" s="11" t="s">
        <v>205</v>
      </c>
      <c r="B48" s="11" t="s">
        <v>206</v>
      </c>
      <c r="C48" s="12"/>
      <c r="D48" s="12"/>
      <c r="E48" s="13"/>
      <c r="F48" s="13"/>
      <c r="G48" s="12" t="e">
        <f>SUBSTITUTE(VLOOKUP($B48,#REF!,G$1,FALSE),",", ".")</f>
        <v>#REF!</v>
      </c>
      <c r="H48" s="13">
        <v>9.7999999999999997E-3</v>
      </c>
      <c r="I48" s="11" t="s">
        <v>173</v>
      </c>
      <c r="J48" s="11" t="s">
        <v>26</v>
      </c>
      <c r="K48" s="17" t="s">
        <v>207</v>
      </c>
      <c r="L48" s="12" t="e">
        <f>VLOOKUP($B48,#REF!,L$1,FALSE)</f>
        <v>#REF!</v>
      </c>
      <c r="M48" s="12" t="e">
        <f>VLOOKUP($B48,#REF!,M$1,FALSE)</f>
        <v>#REF!</v>
      </c>
      <c r="N48" s="12" t="e">
        <f>VLOOKUP($B48,#REF!,N$1,FALSE)</f>
        <v>#REF!</v>
      </c>
      <c r="O48" s="12" t="e">
        <f>VLOOKUP($B48,#REF!,O$1,FALSE)</f>
        <v>#REF!</v>
      </c>
      <c r="P48" s="12" t="e">
        <f>VLOOKUP($B48,#REF!,P$1,FALSE)</f>
        <v>#REF!</v>
      </c>
      <c r="Q48" s="12" t="e">
        <f>VLOOKUP($B48,#REF!,Q$1,FALSE)</f>
        <v>#REF!</v>
      </c>
      <c r="R48" s="12" t="e">
        <f>VLOOKUP($B48,#REF!,R$1,FALSE)</f>
        <v>#REF!</v>
      </c>
      <c r="S48" s="12" t="e">
        <f>VLOOKUP($B48,#REF!,S$1,FALSE)</f>
        <v>#REF!</v>
      </c>
      <c r="T48" s="13">
        <v>-0.13100000000000001</v>
      </c>
      <c r="U48" s="15"/>
      <c r="V48" s="4"/>
      <c r="W48" s="4"/>
      <c r="X48" s="6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15.75" customHeight="1">
      <c r="A49" s="1" t="s">
        <v>208</v>
      </c>
      <c r="B49" s="1"/>
      <c r="C49" s="1"/>
      <c r="D49" s="7" t="e">
        <f>D50</f>
        <v>#REF!</v>
      </c>
      <c r="E49" s="1"/>
      <c r="F49" s="1"/>
      <c r="G49" s="1"/>
      <c r="H49" s="1"/>
      <c r="I49" s="1"/>
      <c r="J49" s="1"/>
      <c r="K49" s="3"/>
      <c r="L49" s="1"/>
      <c r="M49" s="1"/>
      <c r="N49" s="1"/>
      <c r="O49" s="1"/>
      <c r="P49" s="1"/>
      <c r="Q49" s="1"/>
      <c r="R49" s="1"/>
      <c r="S49" s="1"/>
      <c r="T49" s="1"/>
      <c r="U49" s="3"/>
      <c r="V49" s="4"/>
      <c r="W49" s="4"/>
      <c r="X49" s="6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15.75" customHeight="1">
      <c r="A50" s="20" t="s">
        <v>209</v>
      </c>
      <c r="B50" s="13" t="s">
        <v>210</v>
      </c>
      <c r="C50" s="12" t="s">
        <v>211</v>
      </c>
      <c r="D50" s="12" t="e">
        <f>E50*G50</f>
        <v>#REF!</v>
      </c>
      <c r="E50" s="11">
        <v>6.92</v>
      </c>
      <c r="F50" s="11"/>
      <c r="G50" s="12" t="e">
        <f>SUBSTITUTE(VLOOKUP($B50,#REF!,G$1,FALSE),",", ".")</f>
        <v>#REF!</v>
      </c>
      <c r="H50" s="13">
        <v>1.6000000000000001E-3</v>
      </c>
      <c r="I50" s="13" t="s">
        <v>212</v>
      </c>
      <c r="J50" s="13" t="s">
        <v>26</v>
      </c>
      <c r="K50" s="17" t="s">
        <v>213</v>
      </c>
      <c r="L50" s="12" t="e">
        <f>VLOOKUP($B50,#REF!,L$1,FALSE)</f>
        <v>#REF!</v>
      </c>
      <c r="M50" s="12" t="e">
        <f>VLOOKUP($B50,#REF!,M$1,FALSE)</f>
        <v>#REF!</v>
      </c>
      <c r="N50" s="12" t="e">
        <f>VLOOKUP($B50,#REF!,N$1,FALSE)</f>
        <v>#REF!</v>
      </c>
      <c r="O50" s="12" t="e">
        <f>VLOOKUP($B50,#REF!,O$1,FALSE)</f>
        <v>#REF!</v>
      </c>
      <c r="P50" s="12" t="e">
        <f>VLOOKUP($B50,#REF!,P$1,FALSE)</f>
        <v>#REF!</v>
      </c>
      <c r="Q50" s="12" t="e">
        <f>VLOOKUP($B50,#REF!,Q$1,FALSE)</f>
        <v>#REF!</v>
      </c>
      <c r="R50" s="12" t="e">
        <f>VLOOKUP($B50,#REF!,R$1,FALSE)</f>
        <v>#REF!</v>
      </c>
      <c r="S50" s="12" t="e">
        <f>VLOOKUP($B50,#REF!,S$1,FALSE)</f>
        <v>#REF!</v>
      </c>
      <c r="T50" s="13">
        <v>-0.3992</v>
      </c>
      <c r="U50" s="23"/>
      <c r="V50" s="21">
        <v>10</v>
      </c>
      <c r="W50" s="4"/>
      <c r="X50" s="6" t="e">
        <f>(1+(V50/100))*D50</f>
        <v>#REF!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15.75" customHeight="1">
      <c r="A51" s="1" t="s">
        <v>214</v>
      </c>
      <c r="B51" s="1"/>
      <c r="C51" s="1"/>
      <c r="D51" s="7" t="e">
        <f>SUM(D52:D76)</f>
        <v>#REF!</v>
      </c>
      <c r="E51" s="1"/>
      <c r="F51" s="1"/>
      <c r="G51" s="1"/>
      <c r="H51" s="1"/>
      <c r="I51" s="1"/>
      <c r="J51" s="1"/>
      <c r="K51" s="3"/>
      <c r="L51" s="1"/>
      <c r="M51" s="1"/>
      <c r="N51" s="1"/>
      <c r="O51" s="1"/>
      <c r="P51" s="1"/>
      <c r="Q51" s="1"/>
      <c r="R51" s="1"/>
      <c r="S51" s="1"/>
      <c r="T51" s="1"/>
      <c r="U51" s="3"/>
      <c r="V51" s="4"/>
      <c r="W51" s="4"/>
      <c r="X51" s="6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ht="15.75" customHeight="1">
      <c r="A52" s="20" t="s">
        <v>215</v>
      </c>
      <c r="B52" s="27" t="str">
        <f>HYPERLINK("https://www.ie.vanguard/products/fund/equity/9837/global-stock-index-fund-eur-acc","IE00B03HD191")</f>
        <v>IE00B03HD191</v>
      </c>
      <c r="C52" s="12" t="s">
        <v>211</v>
      </c>
      <c r="D52" s="12" t="e">
        <f t="shared" ref="D52:D53" si="4">E52*G52</f>
        <v>#REF!</v>
      </c>
      <c r="E52" s="11">
        <v>159.44999999999999</v>
      </c>
      <c r="F52" s="11"/>
      <c r="G52" s="12" t="e">
        <f>SUBSTITUTE(VLOOKUP($B52,#REF!,G$1,FALSE),",", ".")</f>
        <v>#REF!</v>
      </c>
      <c r="H52" s="13">
        <v>1.8E-3</v>
      </c>
      <c r="I52" s="13" t="s">
        <v>216</v>
      </c>
      <c r="J52" s="11" t="s">
        <v>26</v>
      </c>
      <c r="K52" s="17" t="s">
        <v>217</v>
      </c>
      <c r="L52" s="12" t="e">
        <f>VLOOKUP($B52,#REF!,L$1,FALSE)</f>
        <v>#REF!</v>
      </c>
      <c r="M52" s="12" t="e">
        <f>VLOOKUP($B52,#REF!,M$1,FALSE)</f>
        <v>#REF!</v>
      </c>
      <c r="N52" s="12" t="e">
        <f>VLOOKUP($B52,#REF!,N$1,FALSE)</f>
        <v>#REF!</v>
      </c>
      <c r="O52" s="12" t="e">
        <f>VLOOKUP($B52,#REF!,O$1,FALSE)</f>
        <v>#REF!</v>
      </c>
      <c r="P52" s="12" t="e">
        <f>VLOOKUP($B52,#REF!,P$1,FALSE)</f>
        <v>#REF!</v>
      </c>
      <c r="Q52" s="12" t="e">
        <f>VLOOKUP($B52,#REF!,Q$1,FALSE)</f>
        <v>#REF!</v>
      </c>
      <c r="R52" s="12" t="e">
        <f>VLOOKUP($B52,#REF!,R$1,FALSE)</f>
        <v>#REF!</v>
      </c>
      <c r="S52" s="12" t="e">
        <f>VLOOKUP($B52,#REF!,S$1,FALSE)</f>
        <v>#REF!</v>
      </c>
      <c r="T52" s="11" t="s">
        <v>138</v>
      </c>
      <c r="U52" s="23"/>
      <c r="V52" s="4">
        <v>-28</v>
      </c>
      <c r="W52" s="4"/>
      <c r="X52" s="6" t="e">
        <f t="shared" ref="X52:X53" si="5">(1+(V52/100))*D52</f>
        <v>#REF!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15.75" customHeight="1">
      <c r="A53" s="20" t="s">
        <v>218</v>
      </c>
      <c r="B53" s="28" t="str">
        <f>HYPERLINK("blackrock.com/es/productos/287649/","IE00BD0NCM55")</f>
        <v>IE00BD0NCM55</v>
      </c>
      <c r="C53" s="12" t="s">
        <v>211</v>
      </c>
      <c r="D53" s="12" t="e">
        <f t="shared" si="4"/>
        <v>#REF!</v>
      </c>
      <c r="E53" s="11">
        <v>8</v>
      </c>
      <c r="F53" s="11"/>
      <c r="G53" s="12" t="e">
        <f>SUBSTITUTE(VLOOKUP($B53,#REF!,G$1,FALSE),",", ".")</f>
        <v>#REF!</v>
      </c>
      <c r="H53" s="11" t="s">
        <v>219</v>
      </c>
      <c r="I53" s="11" t="s">
        <v>216</v>
      </c>
      <c r="J53" s="11" t="s">
        <v>26</v>
      </c>
      <c r="K53" s="17" t="s">
        <v>220</v>
      </c>
      <c r="L53" s="12" t="e">
        <f>VLOOKUP($B53,#REF!,L$1,FALSE)</f>
        <v>#REF!</v>
      </c>
      <c r="M53" s="12" t="e">
        <f>VLOOKUP($B53,#REF!,M$1,FALSE)</f>
        <v>#REF!</v>
      </c>
      <c r="N53" s="12" t="e">
        <f>VLOOKUP($B53,#REF!,N$1,FALSE)</f>
        <v>#REF!</v>
      </c>
      <c r="O53" s="12" t="e">
        <f>VLOOKUP($B53,#REF!,O$1,FALSE)</f>
        <v>#REF!</v>
      </c>
      <c r="P53" s="12" t="e">
        <f>VLOOKUP($B53,#REF!,P$1,FALSE)</f>
        <v>#REF!</v>
      </c>
      <c r="Q53" s="12" t="e">
        <f>VLOOKUP($B53,#REF!,Q$1,FALSE)</f>
        <v>#REF!</v>
      </c>
      <c r="R53" s="12" t="e">
        <f>VLOOKUP($B53,#REF!,R$1,FALSE)</f>
        <v>#REF!</v>
      </c>
      <c r="S53" s="12" t="e">
        <f>VLOOKUP($B53,#REF!,S$1,FALSE)</f>
        <v>#REF!</v>
      </c>
      <c r="T53" s="11" t="s">
        <v>138</v>
      </c>
      <c r="U53" s="15"/>
      <c r="V53" s="4">
        <v>-28</v>
      </c>
      <c r="W53" s="4"/>
      <c r="X53" s="6" t="e">
        <f t="shared" si="5"/>
        <v>#REF!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ht="15.75" customHeight="1">
      <c r="A54" s="11" t="s">
        <v>221</v>
      </c>
      <c r="B54" s="11" t="s">
        <v>222</v>
      </c>
      <c r="C54" s="12" t="s">
        <v>211</v>
      </c>
      <c r="D54" s="12"/>
      <c r="E54" s="11"/>
      <c r="F54" s="11"/>
      <c r="G54" s="12" t="e">
        <f>SUBSTITUTE(VLOOKUP($B54,#REF!,G$1,FALSE),",", ".")</f>
        <v>#REF!</v>
      </c>
      <c r="H54" s="11" t="s">
        <v>219</v>
      </c>
      <c r="I54" s="11" t="s">
        <v>216</v>
      </c>
      <c r="J54" s="11" t="s">
        <v>26</v>
      </c>
      <c r="K54" s="17" t="s">
        <v>223</v>
      </c>
      <c r="L54" s="12" t="e">
        <f>VLOOKUP($B54,#REF!,L$1,FALSE)</f>
        <v>#REF!</v>
      </c>
      <c r="M54" s="12" t="e">
        <f>VLOOKUP($B54,#REF!,M$1,FALSE)</f>
        <v>#REF!</v>
      </c>
      <c r="N54" s="12" t="e">
        <f>VLOOKUP($B54,#REF!,N$1,FALSE)</f>
        <v>#REF!</v>
      </c>
      <c r="O54" s="12" t="e">
        <f>VLOOKUP($B54,#REF!,O$1,FALSE)</f>
        <v>#REF!</v>
      </c>
      <c r="P54" s="12" t="e">
        <f>VLOOKUP($B54,#REF!,P$1,FALSE)</f>
        <v>#REF!</v>
      </c>
      <c r="Q54" s="12" t="e">
        <f>VLOOKUP($B54,#REF!,Q$1,FALSE)</f>
        <v>#REF!</v>
      </c>
      <c r="R54" s="12" t="e">
        <f>VLOOKUP($B54,#REF!,R$1,FALSE)</f>
        <v>#REF!</v>
      </c>
      <c r="S54" s="12" t="e">
        <f>VLOOKUP($B54,#REF!,S$1,FALSE)</f>
        <v>#REF!</v>
      </c>
      <c r="T54" s="11" t="s">
        <v>138</v>
      </c>
      <c r="U54" s="15"/>
      <c r="V54" s="4"/>
      <c r="W54" s="4"/>
      <c r="X54" s="6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ht="15.75" customHeight="1">
      <c r="A55" s="20" t="s">
        <v>224</v>
      </c>
      <c r="B55" s="11" t="s">
        <v>225</v>
      </c>
      <c r="C55" s="12" t="s">
        <v>211</v>
      </c>
      <c r="D55" s="12"/>
      <c r="E55" s="11"/>
      <c r="F55" s="11"/>
      <c r="G55" s="12" t="e">
        <f>SUBSTITUTE(VLOOKUP($B55,#REF!,G$1,FALSE),",", ".")</f>
        <v>#REF!</v>
      </c>
      <c r="H55" s="13"/>
      <c r="I55" s="11" t="s">
        <v>226</v>
      </c>
      <c r="J55" s="11" t="s">
        <v>26</v>
      </c>
      <c r="K55" s="17" t="s">
        <v>227</v>
      </c>
      <c r="L55" s="12" t="e">
        <f>VLOOKUP($B55,#REF!,L$1,FALSE)</f>
        <v>#REF!</v>
      </c>
      <c r="M55" s="12" t="e">
        <f>VLOOKUP($B55,#REF!,M$1,FALSE)</f>
        <v>#REF!</v>
      </c>
      <c r="N55" s="12" t="e">
        <f>VLOOKUP($B55,#REF!,N$1,FALSE)</f>
        <v>#REF!</v>
      </c>
      <c r="O55" s="12" t="e">
        <f>VLOOKUP($B55,#REF!,O$1,FALSE)</f>
        <v>#REF!</v>
      </c>
      <c r="P55" s="12" t="e">
        <f>VLOOKUP($B55,#REF!,P$1,FALSE)</f>
        <v>#REF!</v>
      </c>
      <c r="Q55" s="12" t="e">
        <f>VLOOKUP($B55,#REF!,Q$1,FALSE)</f>
        <v>#REF!</v>
      </c>
      <c r="R55" s="12" t="e">
        <f>VLOOKUP($B55,#REF!,R$1,FALSE)</f>
        <v>#REF!</v>
      </c>
      <c r="S55" s="12" t="e">
        <f>VLOOKUP($B55,#REF!,S$1,FALSE)</f>
        <v>#REF!</v>
      </c>
      <c r="T55" s="11"/>
      <c r="U55" s="15"/>
      <c r="V55" s="4">
        <v>-28</v>
      </c>
      <c r="W55" s="4"/>
      <c r="X55" s="6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ht="15.75" customHeight="1">
      <c r="A56" s="20" t="s">
        <v>228</v>
      </c>
      <c r="B56" s="28" t="str">
        <f>HYPERLINK("https://www.ie.vanguard/products/fund/equity/9229/emerging-markets-stock-index-fund-eur-acc","IE0031786696")</f>
        <v>IE0031786696</v>
      </c>
      <c r="C56" s="12" t="s">
        <v>211</v>
      </c>
      <c r="D56" s="12" t="e">
        <f>E56*G56</f>
        <v>#REF!</v>
      </c>
      <c r="E56" s="11">
        <v>5.88</v>
      </c>
      <c r="F56" s="11"/>
      <c r="G56" s="12" t="e">
        <f>SUBSTITUTE(VLOOKUP($B56,#REF!,G$1,FALSE),",", ".")</f>
        <v>#REF!</v>
      </c>
      <c r="H56" s="13">
        <v>2.3E-3</v>
      </c>
      <c r="I56" s="11" t="s">
        <v>229</v>
      </c>
      <c r="J56" s="11" t="s">
        <v>26</v>
      </c>
      <c r="K56" s="17" t="s">
        <v>230</v>
      </c>
      <c r="L56" s="12" t="e">
        <f>VLOOKUP($B56,#REF!,L$1,FALSE)</f>
        <v>#REF!</v>
      </c>
      <c r="M56" s="12" t="e">
        <f>VLOOKUP($B56,#REF!,M$1,FALSE)</f>
        <v>#REF!</v>
      </c>
      <c r="N56" s="12" t="e">
        <f>VLOOKUP($B56,#REF!,N$1,FALSE)</f>
        <v>#REF!</v>
      </c>
      <c r="O56" s="12" t="e">
        <f>VLOOKUP($B56,#REF!,O$1,FALSE)</f>
        <v>#REF!</v>
      </c>
      <c r="P56" s="12" t="e">
        <f>VLOOKUP($B56,#REF!,P$1,FALSE)</f>
        <v>#REF!</v>
      </c>
      <c r="Q56" s="12" t="e">
        <f>VLOOKUP($B56,#REF!,Q$1,FALSE)</f>
        <v>#REF!</v>
      </c>
      <c r="R56" s="12" t="e">
        <f>VLOOKUP($B56,#REF!,R$1,FALSE)</f>
        <v>#REF!</v>
      </c>
      <c r="S56" s="12" t="e">
        <f>VLOOKUP($B56,#REF!,S$1,FALSE)</f>
        <v>#REF!</v>
      </c>
      <c r="T56" s="11"/>
      <c r="U56" s="15"/>
      <c r="V56" s="4">
        <v>-28</v>
      </c>
      <c r="W56" s="4"/>
      <c r="X56" s="6" t="e">
        <f>(1+(V56/100))*D56</f>
        <v>#REF!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ht="15.75" customHeight="1">
      <c r="A57" s="11" t="s">
        <v>231</v>
      </c>
      <c r="B57" s="11" t="s">
        <v>232</v>
      </c>
      <c r="C57" s="12" t="s">
        <v>211</v>
      </c>
      <c r="D57" s="12"/>
      <c r="E57" s="11"/>
      <c r="F57" s="11"/>
      <c r="G57" s="12" t="e">
        <f>SUBSTITUTE(VLOOKUP($B57,#REF!,G$1,FALSE),",", ".")</f>
        <v>#REF!</v>
      </c>
      <c r="H57" s="13"/>
      <c r="I57" s="11" t="s">
        <v>233</v>
      </c>
      <c r="J57" s="11" t="s">
        <v>26</v>
      </c>
      <c r="K57" s="17" t="s">
        <v>234</v>
      </c>
      <c r="L57" s="12" t="e">
        <f>VLOOKUP($B57,#REF!,L$1,FALSE)</f>
        <v>#REF!</v>
      </c>
      <c r="M57" s="12" t="e">
        <f>VLOOKUP($B57,#REF!,M$1,FALSE)</f>
        <v>#REF!</v>
      </c>
      <c r="N57" s="12" t="e">
        <f>VLOOKUP($B57,#REF!,N$1,FALSE)</f>
        <v>#REF!</v>
      </c>
      <c r="O57" s="12" t="e">
        <f>VLOOKUP($B57,#REF!,O$1,FALSE)</f>
        <v>#REF!</v>
      </c>
      <c r="P57" s="12" t="e">
        <f>VLOOKUP($B57,#REF!,P$1,FALSE)</f>
        <v>#REF!</v>
      </c>
      <c r="Q57" s="12" t="e">
        <f>VLOOKUP($B57,#REF!,Q$1,FALSE)</f>
        <v>#REF!</v>
      </c>
      <c r="R57" s="12" t="e">
        <f>VLOOKUP($B57,#REF!,R$1,FALSE)</f>
        <v>#REF!</v>
      </c>
      <c r="S57" s="12" t="e">
        <f>VLOOKUP($B57,#REF!,S$1,FALSE)</f>
        <v>#REF!</v>
      </c>
      <c r="T57" s="13"/>
      <c r="U57" s="15"/>
      <c r="V57" s="4"/>
      <c r="W57" s="4"/>
      <c r="X57" s="6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ht="15.75" customHeight="1">
      <c r="A58" s="11" t="s">
        <v>235</v>
      </c>
      <c r="B58" s="11" t="s">
        <v>236</v>
      </c>
      <c r="C58" s="12" t="s">
        <v>211</v>
      </c>
      <c r="D58" s="12"/>
      <c r="E58" s="11"/>
      <c r="F58" s="11"/>
      <c r="G58" s="12" t="e">
        <f>SUBSTITUTE(VLOOKUP($B58,#REF!,G$1,FALSE),",", ".")</f>
        <v>#REF!</v>
      </c>
      <c r="H58" s="13">
        <v>1.4999999999999999E-2</v>
      </c>
      <c r="I58" s="11" t="s">
        <v>237</v>
      </c>
      <c r="J58" s="11" t="s">
        <v>26</v>
      </c>
      <c r="K58" s="17" t="s">
        <v>238</v>
      </c>
      <c r="L58" s="12" t="e">
        <f>VLOOKUP($B58,#REF!,L$1,FALSE)</f>
        <v>#REF!</v>
      </c>
      <c r="M58" s="12" t="e">
        <f>VLOOKUP($B58,#REF!,M$1,FALSE)</f>
        <v>#REF!</v>
      </c>
      <c r="N58" s="12" t="e">
        <f>VLOOKUP($B58,#REF!,N$1,FALSE)</f>
        <v>#REF!</v>
      </c>
      <c r="O58" s="12" t="e">
        <f>VLOOKUP($B58,#REF!,O$1,FALSE)</f>
        <v>#REF!</v>
      </c>
      <c r="P58" s="12" t="e">
        <f>VLOOKUP($B58,#REF!,P$1,FALSE)</f>
        <v>#REF!</v>
      </c>
      <c r="Q58" s="12" t="e">
        <f>VLOOKUP($B58,#REF!,Q$1,FALSE)</f>
        <v>#REF!</v>
      </c>
      <c r="R58" s="12" t="e">
        <f>VLOOKUP($B58,#REF!,R$1,FALSE)</f>
        <v>#REF!</v>
      </c>
      <c r="S58" s="12" t="e">
        <f>VLOOKUP($B58,#REF!,S$1,FALSE)</f>
        <v>#REF!</v>
      </c>
      <c r="T58" s="13">
        <v>-0.187</v>
      </c>
      <c r="U58" s="15"/>
      <c r="V58" s="4"/>
      <c r="W58" s="4"/>
      <c r="X58" s="6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ht="15.75" customHeight="1">
      <c r="A59" s="11" t="s">
        <v>239</v>
      </c>
      <c r="B59" s="11" t="s">
        <v>240</v>
      </c>
      <c r="C59" s="12" t="s">
        <v>211</v>
      </c>
      <c r="D59" s="12"/>
      <c r="E59" s="11"/>
      <c r="F59" s="11"/>
      <c r="G59" s="12" t="e">
        <f>SUBSTITUTE(VLOOKUP($B59,#REF!,G$1,FALSE),",", ".")</f>
        <v>#REF!</v>
      </c>
      <c r="H59" s="13"/>
      <c r="I59" s="11" t="s">
        <v>241</v>
      </c>
      <c r="J59" s="11" t="s">
        <v>26</v>
      </c>
      <c r="K59" s="17" t="s">
        <v>242</v>
      </c>
      <c r="L59" s="12" t="e">
        <f>VLOOKUP($B59,#REF!,L$1,FALSE)</f>
        <v>#REF!</v>
      </c>
      <c r="M59" s="12" t="e">
        <f>VLOOKUP($B59,#REF!,M$1,FALSE)</f>
        <v>#REF!</v>
      </c>
      <c r="N59" s="12" t="e">
        <f>VLOOKUP($B59,#REF!,N$1,FALSE)</f>
        <v>#REF!</v>
      </c>
      <c r="O59" s="12" t="e">
        <f>VLOOKUP($B59,#REF!,O$1,FALSE)</f>
        <v>#REF!</v>
      </c>
      <c r="P59" s="12" t="e">
        <f>VLOOKUP($B59,#REF!,P$1,FALSE)</f>
        <v>#REF!</v>
      </c>
      <c r="Q59" s="12" t="e">
        <f>VLOOKUP($B59,#REF!,Q$1,FALSE)</f>
        <v>#REF!</v>
      </c>
      <c r="R59" s="12" t="e">
        <f>VLOOKUP($B59,#REF!,R$1,FALSE)</f>
        <v>#REF!</v>
      </c>
      <c r="S59" s="12" t="e">
        <f>VLOOKUP($B59,#REF!,S$1,FALSE)</f>
        <v>#REF!</v>
      </c>
      <c r="T59" s="11" t="s">
        <v>138</v>
      </c>
      <c r="U59" s="15" t="s">
        <v>243</v>
      </c>
      <c r="V59" s="4"/>
      <c r="W59" s="4"/>
      <c r="X59" s="6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ht="15.75" customHeight="1">
      <c r="A60" s="11" t="s">
        <v>244</v>
      </c>
      <c r="B60" s="11" t="s">
        <v>245</v>
      </c>
      <c r="C60" s="12" t="s">
        <v>211</v>
      </c>
      <c r="D60" s="12"/>
      <c r="E60" s="11"/>
      <c r="F60" s="11"/>
      <c r="G60" s="12" t="e">
        <f>SUBSTITUTE(VLOOKUP($B60,#REF!,G$1,FALSE),",", ".")</f>
        <v>#REF!</v>
      </c>
      <c r="H60" s="13">
        <v>1.49E-2</v>
      </c>
      <c r="I60" s="11" t="s">
        <v>246</v>
      </c>
      <c r="J60" s="11" t="s">
        <v>26</v>
      </c>
      <c r="K60" s="17" t="s">
        <v>247</v>
      </c>
      <c r="L60" s="12" t="e">
        <f>VLOOKUP($B60,#REF!,L$1,FALSE)</f>
        <v>#REF!</v>
      </c>
      <c r="M60" s="12" t="e">
        <f>VLOOKUP($B60,#REF!,M$1,FALSE)</f>
        <v>#REF!</v>
      </c>
      <c r="N60" s="12" t="e">
        <f>VLOOKUP($B60,#REF!,N$1,FALSE)</f>
        <v>#REF!</v>
      </c>
      <c r="O60" s="12" t="e">
        <f>VLOOKUP($B60,#REF!,O$1,FALSE)</f>
        <v>#REF!</v>
      </c>
      <c r="P60" s="12" t="e">
        <f>VLOOKUP($B60,#REF!,P$1,FALSE)</f>
        <v>#REF!</v>
      </c>
      <c r="Q60" s="12" t="e">
        <f>VLOOKUP($B60,#REF!,Q$1,FALSE)</f>
        <v>#REF!</v>
      </c>
      <c r="R60" s="12" t="e">
        <f>VLOOKUP($B60,#REF!,R$1,FALSE)</f>
        <v>#REF!</v>
      </c>
      <c r="S60" s="12" t="e">
        <f>VLOOKUP($B60,#REF!,S$1,FALSE)</f>
        <v>#REF!</v>
      </c>
      <c r="T60" s="13">
        <v>-3.8699999999999998E-2</v>
      </c>
      <c r="U60" s="15" t="s">
        <v>248</v>
      </c>
      <c r="V60" s="4"/>
      <c r="W60" s="4"/>
      <c r="X60" s="6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ht="15.75" customHeight="1">
      <c r="A61" s="11" t="s">
        <v>249</v>
      </c>
      <c r="B61" s="11" t="s">
        <v>250</v>
      </c>
      <c r="C61" s="12" t="s">
        <v>211</v>
      </c>
      <c r="D61" s="12"/>
      <c r="E61" s="11"/>
      <c r="F61" s="11"/>
      <c r="G61" s="12" t="e">
        <f>SUBSTITUTE(VLOOKUP($B61,#REF!,G$1,FALSE),",", ".")</f>
        <v>#REF!</v>
      </c>
      <c r="H61" s="13">
        <v>1.2500000000000001E-2</v>
      </c>
      <c r="I61" s="11" t="s">
        <v>251</v>
      </c>
      <c r="J61" s="11" t="s">
        <v>26</v>
      </c>
      <c r="K61" s="17" t="s">
        <v>252</v>
      </c>
      <c r="L61" s="12" t="e">
        <f>VLOOKUP($B61,#REF!,L$1,FALSE)</f>
        <v>#REF!</v>
      </c>
      <c r="M61" s="12" t="e">
        <f>VLOOKUP($B61,#REF!,M$1,FALSE)</f>
        <v>#REF!</v>
      </c>
      <c r="N61" s="12" t="e">
        <f>VLOOKUP($B61,#REF!,N$1,FALSE)</f>
        <v>#REF!</v>
      </c>
      <c r="O61" s="12" t="e">
        <f>VLOOKUP($B61,#REF!,O$1,FALSE)</f>
        <v>#REF!</v>
      </c>
      <c r="P61" s="12" t="e">
        <f>VLOOKUP($B61,#REF!,P$1,FALSE)</f>
        <v>#REF!</v>
      </c>
      <c r="Q61" s="12" t="e">
        <f>VLOOKUP($B61,#REF!,Q$1,FALSE)</f>
        <v>#REF!</v>
      </c>
      <c r="R61" s="12" t="e">
        <f>VLOOKUP($B61,#REF!,R$1,FALSE)</f>
        <v>#REF!</v>
      </c>
      <c r="S61" s="12" t="e">
        <f>VLOOKUP($B61,#REF!,S$1,FALSE)</f>
        <v>#REF!</v>
      </c>
      <c r="T61" s="13">
        <v>-1.3899999999999999E-2</v>
      </c>
      <c r="U61" s="15"/>
      <c r="V61" s="4"/>
      <c r="W61" s="4"/>
      <c r="X61" s="6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ht="15.75" customHeight="1">
      <c r="A62" s="20" t="s">
        <v>253</v>
      </c>
      <c r="B62" s="11" t="s">
        <v>254</v>
      </c>
      <c r="C62" s="12" t="s">
        <v>211</v>
      </c>
      <c r="D62" s="12" t="e">
        <f>E62*G62</f>
        <v>#REF!</v>
      </c>
      <c r="E62" s="11">
        <v>8.2180700000000009</v>
      </c>
      <c r="F62" s="11"/>
      <c r="G62" s="12" t="e">
        <f>SUBSTITUTE(VLOOKUP($B62,#REF!,G$1,FALSE),",", ".")</f>
        <v>#REF!</v>
      </c>
      <c r="H62" s="13">
        <v>6.0000000000000001E-3</v>
      </c>
      <c r="I62" s="11" t="s">
        <v>255</v>
      </c>
      <c r="J62" s="11" t="s">
        <v>26</v>
      </c>
      <c r="K62" s="17" t="s">
        <v>256</v>
      </c>
      <c r="L62" s="12" t="e">
        <f>VLOOKUP($B62,#REF!,L$1,FALSE)</f>
        <v>#REF!</v>
      </c>
      <c r="M62" s="12" t="e">
        <f>VLOOKUP($B62,#REF!,M$1,FALSE)</f>
        <v>#REF!</v>
      </c>
      <c r="N62" s="12" t="e">
        <f>VLOOKUP($B62,#REF!,N$1,FALSE)</f>
        <v>#REF!</v>
      </c>
      <c r="O62" s="12" t="e">
        <f>VLOOKUP($B62,#REF!,O$1,FALSE)</f>
        <v>#REF!</v>
      </c>
      <c r="P62" s="12" t="e">
        <f>VLOOKUP($B62,#REF!,P$1,FALSE)</f>
        <v>#REF!</v>
      </c>
      <c r="Q62" s="12" t="e">
        <f>VLOOKUP($B62,#REF!,Q$1,FALSE)</f>
        <v>#REF!</v>
      </c>
      <c r="R62" s="12" t="e">
        <f>VLOOKUP($B62,#REF!,R$1,FALSE)</f>
        <v>#REF!</v>
      </c>
      <c r="S62" s="12" t="e">
        <f>VLOOKUP($B62,#REF!,S$1,FALSE)</f>
        <v>#REF!</v>
      </c>
      <c r="T62" s="13">
        <v>-0.17399999999999999</v>
      </c>
      <c r="U62" s="15" t="s">
        <v>257</v>
      </c>
      <c r="V62" s="4">
        <v>-28</v>
      </c>
      <c r="W62" s="4"/>
      <c r="X62" s="6" t="e">
        <f>(1+(V62/100))*D62</f>
        <v>#REF!</v>
      </c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ht="15.75" customHeight="1">
      <c r="A63" s="11" t="s">
        <v>258</v>
      </c>
      <c r="B63" s="11" t="s">
        <v>259</v>
      </c>
      <c r="C63" s="12" t="s">
        <v>211</v>
      </c>
      <c r="D63" s="12"/>
      <c r="E63" s="11"/>
      <c r="F63" s="11"/>
      <c r="G63" s="12" t="e">
        <f>SUBSTITUTE(VLOOKUP($B63,#REF!,G$1,FALSE),",", ".")</f>
        <v>#REF!</v>
      </c>
      <c r="H63" s="13">
        <v>1.9699999999999999E-2</v>
      </c>
      <c r="I63" s="11" t="s">
        <v>260</v>
      </c>
      <c r="J63" s="11" t="s">
        <v>26</v>
      </c>
      <c r="K63" s="17" t="s">
        <v>261</v>
      </c>
      <c r="L63" s="12" t="e">
        <f>VLOOKUP($B63,#REF!,L$1,FALSE)</f>
        <v>#REF!</v>
      </c>
      <c r="M63" s="12" t="e">
        <f>VLOOKUP($B63,#REF!,M$1,FALSE)</f>
        <v>#REF!</v>
      </c>
      <c r="N63" s="12" t="e">
        <f>VLOOKUP($B63,#REF!,N$1,FALSE)</f>
        <v>#REF!</v>
      </c>
      <c r="O63" s="12" t="e">
        <f>VLOOKUP($B63,#REF!,O$1,FALSE)</f>
        <v>#REF!</v>
      </c>
      <c r="P63" s="12" t="e">
        <f>VLOOKUP($B63,#REF!,P$1,FALSE)</f>
        <v>#REF!</v>
      </c>
      <c r="Q63" s="12" t="e">
        <f>VLOOKUP($B63,#REF!,Q$1,FALSE)</f>
        <v>#REF!</v>
      </c>
      <c r="R63" s="12" t="e">
        <f>VLOOKUP($B63,#REF!,R$1,FALSE)</f>
        <v>#REF!</v>
      </c>
      <c r="S63" s="12" t="e">
        <f>VLOOKUP($B63,#REF!,S$1,FALSE)</f>
        <v>#REF!</v>
      </c>
      <c r="T63" s="13">
        <v>-0.20960000000000001</v>
      </c>
      <c r="U63" s="15" t="s">
        <v>262</v>
      </c>
      <c r="V63" s="4"/>
      <c r="W63" s="4"/>
      <c r="X63" s="6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 ht="15.75" customHeight="1">
      <c r="A64" s="20" t="s">
        <v>263</v>
      </c>
      <c r="B64" s="28" t="str">
        <f>HYPERLINK("https://www.ie.vanguard/products/fund/equity/9159/global-small-cap-index-fund-eur-acc","IE00B42W4L06")</f>
        <v>IE00B42W4L06</v>
      </c>
      <c r="C64" s="12" t="s">
        <v>211</v>
      </c>
      <c r="D64" s="12" t="e">
        <f>E64*G64</f>
        <v>#REF!</v>
      </c>
      <c r="E64" s="11">
        <v>0.08</v>
      </c>
      <c r="F64" s="11"/>
      <c r="G64" s="12" t="e">
        <f>SUBSTITUTE(VLOOKUP($B64,#REF!,G$1,FALSE),",", ".")</f>
        <v>#REF!</v>
      </c>
      <c r="H64" s="13">
        <v>3.0000000000000001E-3</v>
      </c>
      <c r="I64" s="28" t="str">
        <f>HYPERLINK("https://www.msci.com/resources/factsheets/index_fact_sheet/msci-world-small-cap-index-eur-gross.pdf","MSCI World Small Cap")</f>
        <v>MSCI World Small Cap</v>
      </c>
      <c r="J64" s="11" t="s">
        <v>26</v>
      </c>
      <c r="K64" s="17" t="s">
        <v>264</v>
      </c>
      <c r="L64" s="12" t="e">
        <f>VLOOKUP($B64,#REF!,L$1,FALSE)</f>
        <v>#REF!</v>
      </c>
      <c r="M64" s="12" t="e">
        <f>VLOOKUP($B64,#REF!,M$1,FALSE)</f>
        <v>#REF!</v>
      </c>
      <c r="N64" s="12" t="e">
        <f>VLOOKUP($B64,#REF!,N$1,FALSE)</f>
        <v>#REF!</v>
      </c>
      <c r="O64" s="12" t="e">
        <f>VLOOKUP($B64,#REF!,O$1,FALSE)</f>
        <v>#REF!</v>
      </c>
      <c r="P64" s="12" t="e">
        <f>VLOOKUP($B64,#REF!,P$1,FALSE)</f>
        <v>#REF!</v>
      </c>
      <c r="Q64" s="12" t="e">
        <f>VLOOKUP($B64,#REF!,Q$1,FALSE)</f>
        <v>#REF!</v>
      </c>
      <c r="R64" s="12" t="e">
        <f>VLOOKUP($B64,#REF!,R$1,FALSE)</f>
        <v>#REF!</v>
      </c>
      <c r="S64" s="12" t="e">
        <f>VLOOKUP($B64,#REF!,S$1,FALSE)</f>
        <v>#REF!</v>
      </c>
      <c r="T64" s="13">
        <v>-0.1346</v>
      </c>
      <c r="U64" s="15"/>
      <c r="V64" s="4"/>
      <c r="W64" s="4"/>
      <c r="X64" s="6" t="e">
        <f>(1+(V64/100))*D64</f>
        <v>#REF!</v>
      </c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ht="15.75" customHeight="1">
      <c r="A65" s="1" t="s">
        <v>265</v>
      </c>
      <c r="B65" s="1"/>
      <c r="C65" s="7"/>
      <c r="D65" s="7"/>
      <c r="E65" s="1"/>
      <c r="F65" s="1"/>
      <c r="G65" s="1"/>
      <c r="H65" s="1"/>
      <c r="I65" s="1"/>
      <c r="J65" s="1"/>
      <c r="K65" s="3"/>
      <c r="L65" s="1"/>
      <c r="M65" s="1"/>
      <c r="N65" s="1"/>
      <c r="O65" s="1"/>
      <c r="P65" s="1"/>
      <c r="Q65" s="1"/>
      <c r="R65" s="1"/>
      <c r="S65" s="1"/>
      <c r="T65" s="1"/>
      <c r="U65" s="3"/>
      <c r="V65" s="4"/>
      <c r="W65" s="4"/>
      <c r="X65" s="6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ht="15.75" customHeight="1">
      <c r="A66" s="20" t="s">
        <v>266</v>
      </c>
      <c r="B66" s="11" t="s">
        <v>267</v>
      </c>
      <c r="C66" s="12" t="s">
        <v>211</v>
      </c>
      <c r="D66" s="12">
        <f t="shared" ref="D66:D67" si="6">E66*G66</f>
        <v>857</v>
      </c>
      <c r="E66" s="11">
        <v>2</v>
      </c>
      <c r="F66" s="11"/>
      <c r="G66" s="12">
        <v>428.5</v>
      </c>
      <c r="H66" s="13"/>
      <c r="I66" s="11"/>
      <c r="J66" s="11" t="s">
        <v>26</v>
      </c>
      <c r="K66" s="15"/>
      <c r="L66" s="12" t="e">
        <f>VLOOKUP($B66,#REF!,L$1,FALSE)</f>
        <v>#REF!</v>
      </c>
      <c r="M66" s="12" t="e">
        <f>VLOOKUP($B66,#REF!,M$1,FALSE)</f>
        <v>#REF!</v>
      </c>
      <c r="N66" s="12" t="e">
        <f>VLOOKUP($B66,#REF!,N$1,FALSE)</f>
        <v>#REF!</v>
      </c>
      <c r="O66" s="12" t="e">
        <f>VLOOKUP($B66,#REF!,O$1,FALSE)</f>
        <v>#REF!</v>
      </c>
      <c r="P66" s="12" t="e">
        <f>VLOOKUP($B66,#REF!,P$1,FALSE)</f>
        <v>#REF!</v>
      </c>
      <c r="Q66" s="12" t="e">
        <f>VLOOKUP($B66,#REF!,Q$1,FALSE)</f>
        <v>#REF!</v>
      </c>
      <c r="R66" s="12" t="e">
        <f>VLOOKUP($B66,#REF!,R$1,FALSE)</f>
        <v>#REF!</v>
      </c>
      <c r="S66" s="12" t="e">
        <f>VLOOKUP($B66,#REF!,S$1,FALSE)</f>
        <v>#REF!</v>
      </c>
      <c r="T66" s="11"/>
      <c r="U66" s="15"/>
      <c r="V66" s="4"/>
      <c r="W66" s="4"/>
      <c r="X66" s="6">
        <f t="shared" ref="X66:X67" si="7">(1+(V66/100))*D66</f>
        <v>857</v>
      </c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ht="15.75" customHeight="1">
      <c r="A67" s="11" t="s">
        <v>268</v>
      </c>
      <c r="B67" s="11" t="s">
        <v>269</v>
      </c>
      <c r="C67" s="12" t="s">
        <v>211</v>
      </c>
      <c r="D67" s="12" t="e">
        <f t="shared" si="6"/>
        <v>#REF!</v>
      </c>
      <c r="E67" s="11">
        <v>2.0488</v>
      </c>
      <c r="F67" s="11"/>
      <c r="G67" s="12" t="e">
        <f>SUBSTITUTE(VLOOKUP($B67,#REF!,G$1,FALSE),",", ".")</f>
        <v>#REF!</v>
      </c>
      <c r="H67" s="13">
        <v>1.4999999999999999E-2</v>
      </c>
      <c r="I67" s="11" t="s">
        <v>270</v>
      </c>
      <c r="J67" s="11" t="s">
        <v>26</v>
      </c>
      <c r="K67" s="17" t="s">
        <v>271</v>
      </c>
      <c r="L67" s="12" t="e">
        <f>VLOOKUP($B67,#REF!,L$1,FALSE)</f>
        <v>#REF!</v>
      </c>
      <c r="M67" s="12" t="e">
        <f>VLOOKUP($B67,#REF!,M$1,FALSE)</f>
        <v>#REF!</v>
      </c>
      <c r="N67" s="12" t="e">
        <f>VLOOKUP($B67,#REF!,N$1,FALSE)</f>
        <v>#REF!</v>
      </c>
      <c r="O67" s="12" t="e">
        <f>VLOOKUP($B67,#REF!,O$1,FALSE)</f>
        <v>#REF!</v>
      </c>
      <c r="P67" s="12" t="e">
        <f>VLOOKUP($B67,#REF!,P$1,FALSE)</f>
        <v>#REF!</v>
      </c>
      <c r="Q67" s="12" t="e">
        <f>VLOOKUP($B67,#REF!,Q$1,FALSE)</f>
        <v>#REF!</v>
      </c>
      <c r="R67" s="12" t="e">
        <f>VLOOKUP($B67,#REF!,R$1,FALSE)</f>
        <v>#REF!</v>
      </c>
      <c r="S67" s="12" t="e">
        <f>VLOOKUP($B67,#REF!,S$1,FALSE)</f>
        <v>#REF!</v>
      </c>
      <c r="T67" s="13"/>
      <c r="U67" s="15"/>
      <c r="V67" s="4"/>
      <c r="W67" s="4"/>
      <c r="X67" s="6" t="e">
        <f t="shared" si="7"/>
        <v>#REF!</v>
      </c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ht="15.75" customHeight="1">
      <c r="A68" s="20" t="s">
        <v>272</v>
      </c>
      <c r="B68" s="22" t="s">
        <v>273</v>
      </c>
      <c r="C68" s="12" t="s">
        <v>211</v>
      </c>
      <c r="D68" s="12"/>
      <c r="E68" s="11"/>
      <c r="F68" s="11"/>
      <c r="G68" s="12" t="e">
        <f>SUBSTITUTE(VLOOKUP($B68,#REF!,G$1,FALSE),",", ".")</f>
        <v>#REF!</v>
      </c>
      <c r="H68" s="11"/>
      <c r="I68" s="11" t="s">
        <v>274</v>
      </c>
      <c r="J68" s="11" t="s">
        <v>26</v>
      </c>
      <c r="K68" s="17" t="s">
        <v>275</v>
      </c>
      <c r="L68" s="12" t="e">
        <f>VLOOKUP($B68,#REF!,L$1,FALSE)</f>
        <v>#REF!</v>
      </c>
      <c r="M68" s="12" t="e">
        <f>VLOOKUP($B68,#REF!,M$1,FALSE)</f>
        <v>#REF!</v>
      </c>
      <c r="N68" s="12" t="e">
        <f>VLOOKUP($B68,#REF!,N$1,FALSE)</f>
        <v>#REF!</v>
      </c>
      <c r="O68" s="12" t="e">
        <f>VLOOKUP($B68,#REF!,O$1,FALSE)</f>
        <v>#REF!</v>
      </c>
      <c r="P68" s="12" t="e">
        <f>VLOOKUP($B68,#REF!,P$1,FALSE)</f>
        <v>#REF!</v>
      </c>
      <c r="Q68" s="12" t="e">
        <f>VLOOKUP($B68,#REF!,Q$1,FALSE)</f>
        <v>#REF!</v>
      </c>
      <c r="R68" s="12" t="e">
        <f>VLOOKUP($B68,#REF!,R$1,FALSE)</f>
        <v>#REF!</v>
      </c>
      <c r="S68" s="12" t="e">
        <f>VLOOKUP($B68,#REF!,S$1,FALSE)</f>
        <v>#REF!</v>
      </c>
      <c r="T68" s="11"/>
      <c r="U68" s="23"/>
      <c r="V68" s="4"/>
      <c r="W68" s="4"/>
      <c r="X68" s="6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 ht="15.75" customHeight="1">
      <c r="A69" s="20" t="s">
        <v>276</v>
      </c>
      <c r="B69" s="22" t="s">
        <v>277</v>
      </c>
      <c r="C69" s="12" t="s">
        <v>211</v>
      </c>
      <c r="D69" s="12" t="e">
        <f>E69*G69</f>
        <v>#REF!</v>
      </c>
      <c r="E69" s="11">
        <v>1.1634500000000001</v>
      </c>
      <c r="F69" s="11"/>
      <c r="G69" s="12" t="e">
        <f>SUBSTITUTE(VLOOKUP($B69,#REF!,G$1,FALSE),",", ".")</f>
        <v>#REF!</v>
      </c>
      <c r="H69" s="11" t="s">
        <v>278</v>
      </c>
      <c r="I69" s="11" t="s">
        <v>270</v>
      </c>
      <c r="J69" s="11" t="s">
        <v>26</v>
      </c>
      <c r="K69" s="17" t="s">
        <v>279</v>
      </c>
      <c r="L69" s="12" t="e">
        <f>VLOOKUP($B69,#REF!,L$1,FALSE)</f>
        <v>#REF!</v>
      </c>
      <c r="M69" s="12" t="e">
        <f>VLOOKUP($B69,#REF!,M$1,FALSE)</f>
        <v>#REF!</v>
      </c>
      <c r="N69" s="12" t="e">
        <f>VLOOKUP($B69,#REF!,N$1,FALSE)</f>
        <v>#REF!</v>
      </c>
      <c r="O69" s="12" t="e">
        <f>VLOOKUP($B69,#REF!,O$1,FALSE)</f>
        <v>#REF!</v>
      </c>
      <c r="P69" s="12" t="e">
        <f>VLOOKUP($B69,#REF!,P$1,FALSE)</f>
        <v>#REF!</v>
      </c>
      <c r="Q69" s="12" t="e">
        <f>VLOOKUP($B69,#REF!,Q$1,FALSE)</f>
        <v>#REF!</v>
      </c>
      <c r="R69" s="12" t="e">
        <f>VLOOKUP($B69,#REF!,R$1,FALSE)</f>
        <v>#REF!</v>
      </c>
      <c r="S69" s="12" t="e">
        <f>VLOOKUP($B69,#REF!,S$1,FALSE)</f>
        <v>#REF!</v>
      </c>
      <c r="T69" s="11" t="s">
        <v>138</v>
      </c>
      <c r="U69" s="23"/>
      <c r="V69" s="4"/>
      <c r="W69" s="4"/>
      <c r="X69" s="6" t="e">
        <f>(1+(V69/100))*D69</f>
        <v>#REF!</v>
      </c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ht="15.75" customHeight="1">
      <c r="A70" s="20" t="s">
        <v>280</v>
      </c>
      <c r="B70" s="11" t="s">
        <v>281</v>
      </c>
      <c r="C70" s="12" t="s">
        <v>211</v>
      </c>
      <c r="D70" s="12"/>
      <c r="E70" s="13"/>
      <c r="F70" s="13"/>
      <c r="G70" s="12" t="e">
        <f>SUBSTITUTE(VLOOKUP($B70,#REF!,G$1,FALSE),",", ".")</f>
        <v>#REF!</v>
      </c>
      <c r="H70" s="13">
        <v>1.4999999999999999E-2</v>
      </c>
      <c r="I70" s="11" t="s">
        <v>274</v>
      </c>
      <c r="J70" s="11" t="s">
        <v>26</v>
      </c>
      <c r="K70" s="17" t="s">
        <v>282</v>
      </c>
      <c r="L70" s="12" t="e">
        <f>VLOOKUP($B70,#REF!,L$1,FALSE)</f>
        <v>#REF!</v>
      </c>
      <c r="M70" s="12" t="e">
        <f>VLOOKUP($B70,#REF!,M$1,FALSE)</f>
        <v>#REF!</v>
      </c>
      <c r="N70" s="12" t="e">
        <f>VLOOKUP($B70,#REF!,N$1,FALSE)</f>
        <v>#REF!</v>
      </c>
      <c r="O70" s="12" t="e">
        <f>VLOOKUP($B70,#REF!,O$1,FALSE)</f>
        <v>#REF!</v>
      </c>
      <c r="P70" s="12" t="e">
        <f>VLOOKUP($B70,#REF!,P$1,FALSE)</f>
        <v>#REF!</v>
      </c>
      <c r="Q70" s="12" t="e">
        <f>VLOOKUP($B70,#REF!,Q$1,FALSE)</f>
        <v>#REF!</v>
      </c>
      <c r="R70" s="12" t="e">
        <f>VLOOKUP($B70,#REF!,R$1,FALSE)</f>
        <v>#REF!</v>
      </c>
      <c r="S70" s="12" t="e">
        <f>VLOOKUP($B70,#REF!,S$1,FALSE)</f>
        <v>#REF!</v>
      </c>
      <c r="T70" s="13">
        <v>-9.1700000000000004E-2</v>
      </c>
      <c r="U70" s="23"/>
      <c r="V70" s="4"/>
      <c r="W70" s="4"/>
      <c r="X70" s="6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ht="15.75" customHeight="1">
      <c r="A71" s="11" t="s">
        <v>283</v>
      </c>
      <c r="B71" s="11" t="s">
        <v>284</v>
      </c>
      <c r="C71" s="12" t="s">
        <v>211</v>
      </c>
      <c r="D71" s="12"/>
      <c r="E71" s="11"/>
      <c r="F71" s="11"/>
      <c r="G71" s="12" t="e">
        <f>SUBSTITUTE(VLOOKUP($B71,#REF!,G$1,FALSE),",", ".")</f>
        <v>#REF!</v>
      </c>
      <c r="H71" s="11"/>
      <c r="I71" s="11" t="s">
        <v>274</v>
      </c>
      <c r="J71" s="11" t="s">
        <v>26</v>
      </c>
      <c r="K71" s="17" t="s">
        <v>285</v>
      </c>
      <c r="L71" s="12" t="e">
        <f>VLOOKUP($B71,#REF!,L$1,FALSE)</f>
        <v>#REF!</v>
      </c>
      <c r="M71" s="12" t="e">
        <f>VLOOKUP($B71,#REF!,M$1,FALSE)</f>
        <v>#REF!</v>
      </c>
      <c r="N71" s="12" t="e">
        <f>VLOOKUP($B71,#REF!,N$1,FALSE)</f>
        <v>#REF!</v>
      </c>
      <c r="O71" s="12" t="e">
        <f>VLOOKUP($B71,#REF!,O$1,FALSE)</f>
        <v>#REF!</v>
      </c>
      <c r="P71" s="12" t="e">
        <f>VLOOKUP($B71,#REF!,P$1,FALSE)</f>
        <v>#REF!</v>
      </c>
      <c r="Q71" s="12" t="e">
        <f>VLOOKUP($B71,#REF!,Q$1,FALSE)</f>
        <v>#REF!</v>
      </c>
      <c r="R71" s="12" t="e">
        <f>VLOOKUP($B71,#REF!,R$1,FALSE)</f>
        <v>#REF!</v>
      </c>
      <c r="S71" s="12" t="e">
        <f>VLOOKUP($B71,#REF!,S$1,FALSE)</f>
        <v>#REF!</v>
      </c>
      <c r="T71" s="13"/>
      <c r="U71" s="15"/>
      <c r="V71" s="4"/>
      <c r="W71" s="4"/>
      <c r="X71" s="6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ht="15.75" customHeight="1">
      <c r="A72" s="11" t="s">
        <v>286</v>
      </c>
      <c r="B72" s="11" t="s">
        <v>287</v>
      </c>
      <c r="C72" s="12" t="s">
        <v>211</v>
      </c>
      <c r="D72" s="12"/>
      <c r="E72" s="11"/>
      <c r="F72" s="11"/>
      <c r="G72" s="12" t="e">
        <f>SUBSTITUTE(VLOOKUP($B72,#REF!,G$1,FALSE),",", ".")</f>
        <v>#REF!</v>
      </c>
      <c r="H72" s="11"/>
      <c r="I72" s="11" t="s">
        <v>270</v>
      </c>
      <c r="J72" s="11" t="s">
        <v>26</v>
      </c>
      <c r="K72" s="17" t="s">
        <v>288</v>
      </c>
      <c r="L72" s="12" t="e">
        <f>VLOOKUP($B72,#REF!,L$1,FALSE)</f>
        <v>#REF!</v>
      </c>
      <c r="M72" s="12" t="e">
        <f>VLOOKUP($B72,#REF!,M$1,FALSE)</f>
        <v>#REF!</v>
      </c>
      <c r="N72" s="12" t="e">
        <f>VLOOKUP($B72,#REF!,N$1,FALSE)</f>
        <v>#REF!</v>
      </c>
      <c r="O72" s="12" t="e">
        <f>VLOOKUP($B72,#REF!,O$1,FALSE)</f>
        <v>#REF!</v>
      </c>
      <c r="P72" s="12" t="e">
        <f>VLOOKUP($B72,#REF!,P$1,FALSE)</f>
        <v>#REF!</v>
      </c>
      <c r="Q72" s="12" t="e">
        <f>VLOOKUP($B72,#REF!,Q$1,FALSE)</f>
        <v>#REF!</v>
      </c>
      <c r="R72" s="12" t="e">
        <f>VLOOKUP($B72,#REF!,R$1,FALSE)</f>
        <v>#REF!</v>
      </c>
      <c r="S72" s="12" t="e">
        <f>VLOOKUP($B72,#REF!,S$1,FALSE)</f>
        <v>#REF!</v>
      </c>
      <c r="T72" s="13"/>
      <c r="U72" s="15"/>
      <c r="V72" s="4"/>
      <c r="W72" s="4"/>
      <c r="X72" s="6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ht="15.75" customHeight="1">
      <c r="A73" s="11" t="s">
        <v>289</v>
      </c>
      <c r="B73" s="11" t="s">
        <v>290</v>
      </c>
      <c r="C73" s="12" t="s">
        <v>211</v>
      </c>
      <c r="D73" s="12"/>
      <c r="E73" s="11"/>
      <c r="F73" s="11"/>
      <c r="G73" s="12" t="e">
        <f>SUBSTITUTE(VLOOKUP($B73,#REF!,G$1,FALSE),",", ".")</f>
        <v>#REF!</v>
      </c>
      <c r="H73" s="11" t="s">
        <v>291</v>
      </c>
      <c r="I73" s="11" t="s">
        <v>292</v>
      </c>
      <c r="J73" s="11" t="s">
        <v>26</v>
      </c>
      <c r="K73" s="17" t="s">
        <v>293</v>
      </c>
      <c r="L73" s="12" t="e">
        <f>VLOOKUP($B73,#REF!,L$1,FALSE)</f>
        <v>#REF!</v>
      </c>
      <c r="M73" s="12" t="e">
        <f>VLOOKUP($B73,#REF!,M$1,FALSE)</f>
        <v>#REF!</v>
      </c>
      <c r="N73" s="12" t="e">
        <f>VLOOKUP($B73,#REF!,N$1,FALSE)</f>
        <v>#REF!</v>
      </c>
      <c r="O73" s="12" t="e">
        <f>VLOOKUP($B73,#REF!,O$1,FALSE)</f>
        <v>#REF!</v>
      </c>
      <c r="P73" s="12" t="e">
        <f>VLOOKUP($B73,#REF!,P$1,FALSE)</f>
        <v>#REF!</v>
      </c>
      <c r="Q73" s="12" t="e">
        <f>VLOOKUP($B73,#REF!,Q$1,FALSE)</f>
        <v>#REF!</v>
      </c>
      <c r="R73" s="12" t="e">
        <f>VLOOKUP($B73,#REF!,R$1,FALSE)</f>
        <v>#REF!</v>
      </c>
      <c r="S73" s="12" t="e">
        <f>VLOOKUP($B73,#REF!,S$1,FALSE)</f>
        <v>#REF!</v>
      </c>
      <c r="T73" s="13">
        <v>-0.152</v>
      </c>
      <c r="U73" s="15"/>
      <c r="V73" s="4"/>
      <c r="W73" s="4"/>
      <c r="X73" s="6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ht="15.75" customHeight="1">
      <c r="A74" s="11" t="s">
        <v>294</v>
      </c>
      <c r="B74" s="11" t="s">
        <v>295</v>
      </c>
      <c r="C74" s="12" t="s">
        <v>211</v>
      </c>
      <c r="D74" s="12"/>
      <c r="E74" s="11"/>
      <c r="F74" s="11"/>
      <c r="G74" s="12" t="e">
        <f>SUBSTITUTE(VLOOKUP($B74,#REF!,G$1,FALSE),",", ".")</f>
        <v>#REF!</v>
      </c>
      <c r="H74" s="11" t="s">
        <v>278</v>
      </c>
      <c r="I74" s="11" t="s">
        <v>296</v>
      </c>
      <c r="J74" s="11" t="s">
        <v>26</v>
      </c>
      <c r="K74" s="17" t="s">
        <v>297</v>
      </c>
      <c r="L74" s="12" t="e">
        <f>VLOOKUP($B74,#REF!,L$1,FALSE)</f>
        <v>#REF!</v>
      </c>
      <c r="M74" s="12" t="e">
        <f>VLOOKUP($B74,#REF!,M$1,FALSE)</f>
        <v>#REF!</v>
      </c>
      <c r="N74" s="12" t="e">
        <f>VLOOKUP($B74,#REF!,N$1,FALSE)</f>
        <v>#REF!</v>
      </c>
      <c r="O74" s="12" t="e">
        <f>VLOOKUP($B74,#REF!,O$1,FALSE)</f>
        <v>#REF!</v>
      </c>
      <c r="P74" s="12" t="e">
        <f>VLOOKUP($B74,#REF!,P$1,FALSE)</f>
        <v>#REF!</v>
      </c>
      <c r="Q74" s="12" t="e">
        <f>VLOOKUP($B74,#REF!,Q$1,FALSE)</f>
        <v>#REF!</v>
      </c>
      <c r="R74" s="12" t="e">
        <f>VLOOKUP($B74,#REF!,R$1,FALSE)</f>
        <v>#REF!</v>
      </c>
      <c r="S74" s="12" t="e">
        <f>VLOOKUP($B74,#REF!,S$1,FALSE)</f>
        <v>#REF!</v>
      </c>
      <c r="T74" s="13">
        <v>-6.4799999999999996E-2</v>
      </c>
      <c r="U74" s="15" t="s">
        <v>298</v>
      </c>
      <c r="V74" s="4"/>
      <c r="W74" s="4"/>
      <c r="X74" s="6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ht="15.75" customHeight="1">
      <c r="A75" s="11" t="s">
        <v>299</v>
      </c>
      <c r="B75" s="11" t="s">
        <v>300</v>
      </c>
      <c r="C75" s="12" t="s">
        <v>211</v>
      </c>
      <c r="D75" s="12"/>
      <c r="E75" s="11"/>
      <c r="F75" s="11"/>
      <c r="G75" s="12" t="e">
        <f>SUBSTITUTE(VLOOKUP($B75,#REF!,G$1,FALSE),",", ".")</f>
        <v>#REF!</v>
      </c>
      <c r="H75" s="11" t="s">
        <v>301</v>
      </c>
      <c r="I75" s="11" t="s">
        <v>302</v>
      </c>
      <c r="J75" s="11" t="s">
        <v>26</v>
      </c>
      <c r="K75" s="17" t="s">
        <v>303</v>
      </c>
      <c r="L75" s="12" t="e">
        <f>VLOOKUP($B75,#REF!,L$1,FALSE)</f>
        <v>#REF!</v>
      </c>
      <c r="M75" s="12" t="e">
        <f>VLOOKUP($B75,#REF!,M$1,FALSE)</f>
        <v>#REF!</v>
      </c>
      <c r="N75" s="12" t="e">
        <f>VLOOKUP($B75,#REF!,N$1,FALSE)</f>
        <v>#REF!</v>
      </c>
      <c r="O75" s="12" t="e">
        <f>VLOOKUP($B75,#REF!,O$1,FALSE)</f>
        <v>#REF!</v>
      </c>
      <c r="P75" s="12" t="e">
        <f>VLOOKUP($B75,#REF!,P$1,FALSE)</f>
        <v>#REF!</v>
      </c>
      <c r="Q75" s="12" t="e">
        <f>VLOOKUP($B75,#REF!,Q$1,FALSE)</f>
        <v>#REF!</v>
      </c>
      <c r="R75" s="12" t="e">
        <f>VLOOKUP($B75,#REF!,R$1,FALSE)</f>
        <v>#REF!</v>
      </c>
      <c r="S75" s="12" t="e">
        <f>VLOOKUP($B75,#REF!,S$1,FALSE)</f>
        <v>#REF!</v>
      </c>
      <c r="T75" s="13">
        <v>-5.7500000000000002E-2</v>
      </c>
      <c r="U75" s="15" t="s">
        <v>304</v>
      </c>
      <c r="V75" s="4"/>
      <c r="W75" s="4"/>
      <c r="X75" s="6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ht="15.75" customHeight="1">
      <c r="A76" s="26" t="s">
        <v>305</v>
      </c>
      <c r="B76" s="11" t="s">
        <v>306</v>
      </c>
      <c r="C76" s="12" t="s">
        <v>211</v>
      </c>
      <c r="D76" s="12"/>
      <c r="E76" s="11"/>
      <c r="F76" s="11"/>
      <c r="G76" s="12" t="e">
        <f>SUBSTITUTE(VLOOKUP($B76,#REF!,G$1,FALSE),",", ".")</f>
        <v>#REF!</v>
      </c>
      <c r="H76" s="11" t="s">
        <v>307</v>
      </c>
      <c r="I76" s="11" t="s">
        <v>302</v>
      </c>
      <c r="J76" s="11" t="s">
        <v>26</v>
      </c>
      <c r="K76" s="17" t="s">
        <v>308</v>
      </c>
      <c r="L76" s="12" t="e">
        <f>VLOOKUP($B76,#REF!,L$1,FALSE)</f>
        <v>#REF!</v>
      </c>
      <c r="M76" s="12" t="e">
        <f>VLOOKUP($B76,#REF!,M$1,FALSE)</f>
        <v>#REF!</v>
      </c>
      <c r="N76" s="12" t="e">
        <f>VLOOKUP($B76,#REF!,N$1,FALSE)</f>
        <v>#REF!</v>
      </c>
      <c r="O76" s="12" t="e">
        <f>VLOOKUP($B76,#REF!,O$1,FALSE)</f>
        <v>#REF!</v>
      </c>
      <c r="P76" s="12" t="e">
        <f>VLOOKUP($B76,#REF!,P$1,FALSE)</f>
        <v>#REF!</v>
      </c>
      <c r="Q76" s="12" t="e">
        <f>VLOOKUP($B76,#REF!,Q$1,FALSE)</f>
        <v>#REF!</v>
      </c>
      <c r="R76" s="12" t="e">
        <f>VLOOKUP($B76,#REF!,R$1,FALSE)</f>
        <v>#REF!</v>
      </c>
      <c r="S76" s="12" t="e">
        <f>VLOOKUP($B76,#REF!,S$1,FALSE)</f>
        <v>#REF!</v>
      </c>
      <c r="T76" s="13">
        <v>-3.6400000000000002E-2</v>
      </c>
      <c r="U76" s="15" t="s">
        <v>262</v>
      </c>
      <c r="V76" s="4"/>
      <c r="W76" s="4"/>
      <c r="X76" s="6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 ht="15.75" customHeight="1">
      <c r="A77" s="1" t="s">
        <v>309</v>
      </c>
      <c r="B77" s="1"/>
      <c r="C77" s="1"/>
      <c r="D77" s="7" t="e">
        <f>SUM(D78:D91)</f>
        <v>#REF!</v>
      </c>
      <c r="E77" s="1"/>
      <c r="F77" s="1"/>
      <c r="G77" s="1"/>
      <c r="H77" s="1"/>
      <c r="I77" s="1"/>
      <c r="J77" s="1"/>
      <c r="K77" s="3"/>
      <c r="L77" s="1"/>
      <c r="M77" s="1"/>
      <c r="N77" s="1"/>
      <c r="O77" s="1"/>
      <c r="P77" s="1"/>
      <c r="Q77" s="1"/>
      <c r="R77" s="1"/>
      <c r="S77" s="1"/>
      <c r="T77" s="1"/>
      <c r="U77" s="3"/>
      <c r="V77" s="4"/>
      <c r="W77" s="4"/>
      <c r="X77" s="6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ht="15.75" customHeight="1">
      <c r="A78" s="26" t="s">
        <v>310</v>
      </c>
      <c r="B78" s="11" t="s">
        <v>311</v>
      </c>
      <c r="C78" s="12" t="s">
        <v>22</v>
      </c>
      <c r="D78" s="12"/>
      <c r="E78" s="11">
        <v>14.557763599999999</v>
      </c>
      <c r="F78" s="11"/>
      <c r="G78" s="12" t="e">
        <f>SUBSTITUTE(VLOOKUP($B78,#REF!,G$1,FALSE),",", ".")</f>
        <v>#REF!</v>
      </c>
      <c r="H78" s="11" t="s">
        <v>312</v>
      </c>
      <c r="I78" s="11" t="s">
        <v>313</v>
      </c>
      <c r="J78" s="11" t="s">
        <v>26</v>
      </c>
      <c r="K78" s="17" t="s">
        <v>314</v>
      </c>
      <c r="L78" s="12" t="e">
        <f>VLOOKUP($B78,#REF!,L$1,FALSE)</f>
        <v>#REF!</v>
      </c>
      <c r="M78" s="12" t="e">
        <f>VLOOKUP($B78,#REF!,M$1,FALSE)</f>
        <v>#REF!</v>
      </c>
      <c r="N78" s="12" t="e">
        <f>VLOOKUP($B78,#REF!,N$1,FALSE)</f>
        <v>#REF!</v>
      </c>
      <c r="O78" s="12" t="e">
        <f>VLOOKUP($B78,#REF!,O$1,FALSE)</f>
        <v>#REF!</v>
      </c>
      <c r="P78" s="12" t="e">
        <f>VLOOKUP($B78,#REF!,P$1,FALSE)</f>
        <v>#REF!</v>
      </c>
      <c r="Q78" s="12" t="e">
        <f>VLOOKUP($B78,#REF!,Q$1,FALSE)</f>
        <v>#REF!</v>
      </c>
      <c r="R78" s="12" t="e">
        <f>VLOOKUP($B78,#REF!,R$1,FALSE)</f>
        <v>#REF!</v>
      </c>
      <c r="S78" s="12" t="e">
        <f>VLOOKUP($B78,#REF!,S$1,FALSE)</f>
        <v>#REF!</v>
      </c>
      <c r="T78" s="13">
        <v>-2.9999999999999997E-4</v>
      </c>
      <c r="U78" s="15"/>
      <c r="V78" s="4">
        <v>-0.88</v>
      </c>
      <c r="W78" s="5">
        <v>-1</v>
      </c>
      <c r="X78" s="6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ht="15.75" customHeight="1">
      <c r="A79" s="20" t="s">
        <v>315</v>
      </c>
      <c r="B79" s="11" t="s">
        <v>316</v>
      </c>
      <c r="C79" s="12" t="s">
        <v>55</v>
      </c>
      <c r="D79" s="12" t="e">
        <f t="shared" ref="D79:D82" si="8">E79*G79</f>
        <v>#REF!</v>
      </c>
      <c r="E79" s="11">
        <v>207.91959</v>
      </c>
      <c r="F79" s="11"/>
      <c r="G79" s="12" t="e">
        <f>SUBSTITUTE(VLOOKUP($B79,#REF!,G$1,FALSE),",", ".")</f>
        <v>#REF!</v>
      </c>
      <c r="H79" s="13">
        <v>1.2E-2</v>
      </c>
      <c r="I79" s="11" t="s">
        <v>317</v>
      </c>
      <c r="J79" s="11" t="s">
        <v>26</v>
      </c>
      <c r="K79" s="17" t="s">
        <v>318</v>
      </c>
      <c r="L79" s="12" t="e">
        <f>VLOOKUP($B79,#REF!,L$1,FALSE)</f>
        <v>#REF!</v>
      </c>
      <c r="M79" s="12" t="e">
        <f>VLOOKUP($B79,#REF!,M$1,FALSE)</f>
        <v>#REF!</v>
      </c>
      <c r="N79" s="12" t="e">
        <f>VLOOKUP($B79,#REF!,N$1,FALSE)</f>
        <v>#REF!</v>
      </c>
      <c r="O79" s="12" t="e">
        <f>VLOOKUP($B79,#REF!,O$1,FALSE)</f>
        <v>#REF!</v>
      </c>
      <c r="P79" s="12" t="e">
        <f>VLOOKUP($B79,#REF!,P$1,FALSE)</f>
        <v>#REF!</v>
      </c>
      <c r="Q79" s="12" t="e">
        <f>VLOOKUP($B79,#REF!,Q$1,FALSE)</f>
        <v>#REF!</v>
      </c>
      <c r="R79" s="12" t="e">
        <f>VLOOKUP($B79,#REF!,R$1,FALSE)</f>
        <v>#REF!</v>
      </c>
      <c r="S79" s="12" t="e">
        <f>VLOOKUP($B79,#REF!,S$1,FALSE)</f>
        <v>#REF!</v>
      </c>
      <c r="T79" s="11" t="s">
        <v>138</v>
      </c>
      <c r="U79" s="15"/>
      <c r="V79" s="4">
        <v>-9.48</v>
      </c>
      <c r="W79" s="4">
        <v>-2</v>
      </c>
      <c r="X79" s="6" t="e">
        <f t="shared" ref="X79:X82" si="9">(1+(V79/100))*D79</f>
        <v>#REF!</v>
      </c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 ht="15.75" customHeight="1">
      <c r="A80" s="20" t="s">
        <v>319</v>
      </c>
      <c r="B80" s="11" t="s">
        <v>320</v>
      </c>
      <c r="C80" s="12" t="s">
        <v>141</v>
      </c>
      <c r="D80" s="12" t="e">
        <f t="shared" si="8"/>
        <v>#REF!</v>
      </c>
      <c r="E80" s="11">
        <v>84.139051600000002</v>
      </c>
      <c r="F80" s="11"/>
      <c r="G80" s="12" t="e">
        <f>SUBSTITUTE(VLOOKUP($B80,#REF!,G$1,FALSE),",", ".")</f>
        <v>#REF!</v>
      </c>
      <c r="H80" s="13">
        <v>1.4999999999999999E-2</v>
      </c>
      <c r="I80" s="11" t="s">
        <v>321</v>
      </c>
      <c r="J80" s="11" t="s">
        <v>26</v>
      </c>
      <c r="K80" s="17" t="s">
        <v>322</v>
      </c>
      <c r="L80" s="12" t="e">
        <f>VLOOKUP($B80,#REF!,L$1,FALSE)</f>
        <v>#REF!</v>
      </c>
      <c r="M80" s="12" t="e">
        <f>VLOOKUP($B80,#REF!,M$1,FALSE)</f>
        <v>#REF!</v>
      </c>
      <c r="N80" s="12" t="e">
        <f>VLOOKUP($B80,#REF!,N$1,FALSE)</f>
        <v>#REF!</v>
      </c>
      <c r="O80" s="12" t="e">
        <f>VLOOKUP($B80,#REF!,O$1,FALSE)</f>
        <v>#REF!</v>
      </c>
      <c r="P80" s="12" t="e">
        <f>VLOOKUP($B80,#REF!,P$1,FALSE)</f>
        <v>#REF!</v>
      </c>
      <c r="Q80" s="12" t="e">
        <f>VLOOKUP($B80,#REF!,Q$1,FALSE)</f>
        <v>#REF!</v>
      </c>
      <c r="R80" s="12" t="e">
        <f>VLOOKUP($B80,#REF!,R$1,FALSE)</f>
        <v>#REF!</v>
      </c>
      <c r="S80" s="12" t="e">
        <f>VLOOKUP($B80,#REF!,S$1,FALSE)</f>
        <v>#REF!</v>
      </c>
      <c r="T80" s="13">
        <v>-1.5900000000000001E-2</v>
      </c>
      <c r="U80" s="15" t="s">
        <v>304</v>
      </c>
      <c r="V80" s="4">
        <v>-19.57</v>
      </c>
      <c r="W80" s="4"/>
      <c r="X80" s="6" t="e">
        <f t="shared" si="9"/>
        <v>#REF!</v>
      </c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 ht="15.75" customHeight="1">
      <c r="A81" s="20" t="s">
        <v>323</v>
      </c>
      <c r="B81" s="11" t="s">
        <v>324</v>
      </c>
      <c r="C81" s="12" t="s">
        <v>55</v>
      </c>
      <c r="D81" s="12" t="e">
        <f t="shared" si="8"/>
        <v>#REF!</v>
      </c>
      <c r="E81" s="11">
        <v>15.7105</v>
      </c>
      <c r="F81" s="11"/>
      <c r="G81" s="12" t="e">
        <f>SUBSTITUTE(VLOOKUP($B81,#REF!,G$1,FALSE),",", ".")</f>
        <v>#REF!</v>
      </c>
      <c r="H81" s="13" t="s">
        <v>325</v>
      </c>
      <c r="I81" s="11" t="s">
        <v>326</v>
      </c>
      <c r="J81" s="11" t="s">
        <v>26</v>
      </c>
      <c r="K81" s="17" t="s">
        <v>327</v>
      </c>
      <c r="L81" s="12" t="e">
        <f>VLOOKUP($B81,#REF!,L$1,FALSE)</f>
        <v>#REF!</v>
      </c>
      <c r="M81" s="12" t="e">
        <f>VLOOKUP($B81,#REF!,M$1,FALSE)</f>
        <v>#REF!</v>
      </c>
      <c r="N81" s="12" t="e">
        <f>VLOOKUP($B81,#REF!,N$1,FALSE)</f>
        <v>#REF!</v>
      </c>
      <c r="O81" s="12" t="e">
        <f>VLOOKUP($B81,#REF!,O$1,FALSE)</f>
        <v>#REF!</v>
      </c>
      <c r="P81" s="12" t="e">
        <f>VLOOKUP($B81,#REF!,P$1,FALSE)</f>
        <v>#REF!</v>
      </c>
      <c r="Q81" s="12" t="e">
        <f>VLOOKUP($B81,#REF!,Q$1,FALSE)</f>
        <v>#REF!</v>
      </c>
      <c r="R81" s="12" t="e">
        <f>VLOOKUP($B81,#REF!,R$1,FALSE)</f>
        <v>#REF!</v>
      </c>
      <c r="S81" s="12" t="e">
        <f>VLOOKUP($B81,#REF!,S$1,FALSE)</f>
        <v>#REF!</v>
      </c>
      <c r="T81" s="13">
        <v>-5.1000000000000004E-3</v>
      </c>
      <c r="U81" s="15" t="s">
        <v>328</v>
      </c>
      <c r="V81" s="4">
        <v>-13.53</v>
      </c>
      <c r="W81" s="4"/>
      <c r="X81" s="6" t="e">
        <f t="shared" si="9"/>
        <v>#REF!</v>
      </c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 ht="15.75" customHeight="1">
      <c r="A82" s="20" t="s">
        <v>329</v>
      </c>
      <c r="B82" s="11" t="s">
        <v>330</v>
      </c>
      <c r="C82" s="12" t="s">
        <v>55</v>
      </c>
      <c r="D82" s="12" t="e">
        <f t="shared" si="8"/>
        <v>#REF!</v>
      </c>
      <c r="E82" s="11">
        <v>5.1668000000000003</v>
      </c>
      <c r="F82" s="11"/>
      <c r="G82" s="12" t="e">
        <f>SUBSTITUTE(VLOOKUP($B82,#REF!,G$1,FALSE),",", ".")</f>
        <v>#REF!</v>
      </c>
      <c r="H82" s="13" t="s">
        <v>325</v>
      </c>
      <c r="I82" s="11" t="s">
        <v>326</v>
      </c>
      <c r="J82" s="11" t="s">
        <v>26</v>
      </c>
      <c r="K82" s="17" t="s">
        <v>331</v>
      </c>
      <c r="L82" s="12" t="e">
        <f>VLOOKUP($B82,#REF!,L$1,FALSE)</f>
        <v>#REF!</v>
      </c>
      <c r="M82" s="12" t="e">
        <f>VLOOKUP($B82,#REF!,M$1,FALSE)</f>
        <v>#REF!</v>
      </c>
      <c r="N82" s="12" t="e">
        <f>VLOOKUP($B82,#REF!,N$1,FALSE)</f>
        <v>#REF!</v>
      </c>
      <c r="O82" s="12" t="e">
        <f>VLOOKUP($B82,#REF!,O$1,FALSE)</f>
        <v>#REF!</v>
      </c>
      <c r="P82" s="12" t="e">
        <f>VLOOKUP($B82,#REF!,P$1,FALSE)</f>
        <v>#REF!</v>
      </c>
      <c r="Q82" s="12" t="e">
        <f>VLOOKUP($B82,#REF!,Q$1,FALSE)</f>
        <v>#REF!</v>
      </c>
      <c r="R82" s="12" t="e">
        <f>VLOOKUP($B82,#REF!,R$1,FALSE)</f>
        <v>#REF!</v>
      </c>
      <c r="S82" s="12" t="e">
        <f>VLOOKUP($B82,#REF!,S$1,FALSE)</f>
        <v>#REF!</v>
      </c>
      <c r="T82" s="13">
        <v>-7.1000000000000004E-3</v>
      </c>
      <c r="U82" s="15" t="s">
        <v>304</v>
      </c>
      <c r="V82" s="4">
        <v>-13.53</v>
      </c>
      <c r="W82" s="4"/>
      <c r="X82" s="6" t="e">
        <f t="shared" si="9"/>
        <v>#REF!</v>
      </c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 ht="15.75" customHeight="1">
      <c r="A83" s="20" t="s">
        <v>332</v>
      </c>
      <c r="B83" s="11" t="s">
        <v>333</v>
      </c>
      <c r="C83" s="12" t="s">
        <v>141</v>
      </c>
      <c r="D83" s="12"/>
      <c r="E83" s="13"/>
      <c r="F83" s="13"/>
      <c r="G83" s="12" t="e">
        <f>SUBSTITUTE(VLOOKUP($B83,#REF!,G$1,FALSE),",", ".")</f>
        <v>#REF!</v>
      </c>
      <c r="H83" s="29">
        <v>6.7499999999999999E-3</v>
      </c>
      <c r="I83" s="11" t="s">
        <v>334</v>
      </c>
      <c r="J83" s="11" t="s">
        <v>26</v>
      </c>
      <c r="K83" s="17" t="s">
        <v>335</v>
      </c>
      <c r="L83" s="12" t="e">
        <f>VLOOKUP($B83,#REF!,L$1,FALSE)</f>
        <v>#REF!</v>
      </c>
      <c r="M83" s="12" t="e">
        <f>VLOOKUP($B83,#REF!,M$1,FALSE)</f>
        <v>#REF!</v>
      </c>
      <c r="N83" s="12" t="e">
        <f>VLOOKUP($B83,#REF!,N$1,FALSE)</f>
        <v>#REF!</v>
      </c>
      <c r="O83" s="12" t="e">
        <f>VLOOKUP($B83,#REF!,O$1,FALSE)</f>
        <v>#REF!</v>
      </c>
      <c r="P83" s="12" t="e">
        <f>VLOOKUP($B83,#REF!,P$1,FALSE)</f>
        <v>#REF!</v>
      </c>
      <c r="Q83" s="12" t="e">
        <f>VLOOKUP($B83,#REF!,Q$1,FALSE)</f>
        <v>#REF!</v>
      </c>
      <c r="R83" s="12" t="e">
        <f>VLOOKUP($B83,#REF!,R$1,FALSE)</f>
        <v>#REF!</v>
      </c>
      <c r="S83" s="12" t="e">
        <f>VLOOKUP($B83,#REF!,S$1,FALSE)</f>
        <v>#REF!</v>
      </c>
      <c r="T83" s="13"/>
      <c r="U83" s="15"/>
      <c r="V83" s="4">
        <v>-23.49</v>
      </c>
      <c r="W83" s="4"/>
      <c r="X83" s="6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 ht="15.75" customHeight="1">
      <c r="A84" s="20" t="s">
        <v>336</v>
      </c>
      <c r="B84" s="11" t="s">
        <v>337</v>
      </c>
      <c r="C84" s="12" t="s">
        <v>60</v>
      </c>
      <c r="D84" s="12"/>
      <c r="E84" s="13"/>
      <c r="F84" s="13"/>
      <c r="G84" s="12" t="e">
        <f>SUBSTITUTE(VLOOKUP($B84,#REF!,G$1,FALSE),",", ".")</f>
        <v>#REF!</v>
      </c>
      <c r="H84" s="11" t="s">
        <v>338</v>
      </c>
      <c r="I84" s="11" t="s">
        <v>339</v>
      </c>
      <c r="J84" s="11" t="s">
        <v>26</v>
      </c>
      <c r="K84" s="17" t="s">
        <v>340</v>
      </c>
      <c r="L84" s="12" t="e">
        <f>VLOOKUP($B84,#REF!,L$1,FALSE)</f>
        <v>#REF!</v>
      </c>
      <c r="M84" s="12" t="e">
        <f>VLOOKUP($B84,#REF!,M$1,FALSE)</f>
        <v>#REF!</v>
      </c>
      <c r="N84" s="12" t="e">
        <f>VLOOKUP($B84,#REF!,N$1,FALSE)</f>
        <v>#REF!</v>
      </c>
      <c r="O84" s="12" t="e">
        <f>VLOOKUP($B84,#REF!,O$1,FALSE)</f>
        <v>#REF!</v>
      </c>
      <c r="P84" s="12" t="e">
        <f>VLOOKUP($B84,#REF!,P$1,FALSE)</f>
        <v>#REF!</v>
      </c>
      <c r="Q84" s="12" t="e">
        <f>VLOOKUP($B84,#REF!,Q$1,FALSE)</f>
        <v>#REF!</v>
      </c>
      <c r="R84" s="12" t="e">
        <f>VLOOKUP($B84,#REF!,R$1,FALSE)</f>
        <v>#REF!</v>
      </c>
      <c r="S84" s="12" t="e">
        <f>VLOOKUP($B84,#REF!,S$1,FALSE)</f>
        <v>#REF!</v>
      </c>
      <c r="T84" s="13"/>
      <c r="U84" s="15"/>
      <c r="V84" s="4">
        <v>-15.6</v>
      </c>
      <c r="W84" s="4">
        <v>-0.83</v>
      </c>
      <c r="X84" s="6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 ht="15.75" customHeight="1">
      <c r="A85" s="20" t="s">
        <v>341</v>
      </c>
      <c r="B85" s="11" t="s">
        <v>342</v>
      </c>
      <c r="C85" s="12" t="s">
        <v>141</v>
      </c>
      <c r="D85" s="12" t="e">
        <f>E85*G85</f>
        <v>#REF!</v>
      </c>
      <c r="E85" s="11">
        <v>139.61000000000001</v>
      </c>
      <c r="F85" s="11"/>
      <c r="G85" s="12" t="e">
        <f>SUBSTITUTE(VLOOKUP($B85,#REF!,G$1,FALSE),",", ".")</f>
        <v>#REF!</v>
      </c>
      <c r="H85" s="11" t="s">
        <v>343</v>
      </c>
      <c r="I85" s="11" t="s">
        <v>344</v>
      </c>
      <c r="J85" s="11" t="s">
        <v>345</v>
      </c>
      <c r="K85" s="17" t="s">
        <v>346</v>
      </c>
      <c r="L85" s="12" t="e">
        <f>VLOOKUP($B85,#REF!,L$1,FALSE)</f>
        <v>#REF!</v>
      </c>
      <c r="M85" s="12" t="e">
        <f>VLOOKUP($B85,#REF!,M$1,FALSE)</f>
        <v>#REF!</v>
      </c>
      <c r="N85" s="12" t="e">
        <f>VLOOKUP($B85,#REF!,N$1,FALSE)</f>
        <v>#REF!</v>
      </c>
      <c r="O85" s="12" t="e">
        <f>VLOOKUP($B85,#REF!,O$1,FALSE)</f>
        <v>#REF!</v>
      </c>
      <c r="P85" s="12" t="e">
        <f>VLOOKUP($B85,#REF!,P$1,FALSE)</f>
        <v>#REF!</v>
      </c>
      <c r="Q85" s="12" t="e">
        <f>VLOOKUP($B85,#REF!,Q$1,FALSE)</f>
        <v>#REF!</v>
      </c>
      <c r="R85" s="12" t="e">
        <f>VLOOKUP($B85,#REF!,R$1,FALSE)</f>
        <v>#REF!</v>
      </c>
      <c r="S85" s="12" t="e">
        <f>VLOOKUP($B85,#REF!,S$1,FALSE)</f>
        <v>#REF!</v>
      </c>
      <c r="T85" s="13">
        <v>-0.14929999999999999</v>
      </c>
      <c r="U85" s="15"/>
      <c r="V85" s="4">
        <v>-6.11</v>
      </c>
      <c r="W85" s="4"/>
      <c r="X85" s="6" t="e">
        <f>(1+(V85/100))*D85</f>
        <v>#REF!</v>
      </c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 ht="15.75" customHeight="1">
      <c r="A86" s="11" t="s">
        <v>347</v>
      </c>
      <c r="B86" s="11" t="s">
        <v>348</v>
      </c>
      <c r="C86" s="12"/>
      <c r="D86" s="12"/>
      <c r="E86" s="11"/>
      <c r="F86" s="11"/>
      <c r="G86" s="12" t="e">
        <f>SUBSTITUTE(VLOOKUP($B86,#REF!,G$1,FALSE),",", ".")</f>
        <v>#REF!</v>
      </c>
      <c r="H86" s="11" t="s">
        <v>349</v>
      </c>
      <c r="I86" s="11" t="s">
        <v>350</v>
      </c>
      <c r="J86" s="11" t="s">
        <v>351</v>
      </c>
      <c r="K86" s="17" t="s">
        <v>352</v>
      </c>
      <c r="L86" s="12" t="e">
        <f>VLOOKUP($B86,#REF!,L$1,FALSE)</f>
        <v>#REF!</v>
      </c>
      <c r="M86" s="12" t="e">
        <f>VLOOKUP($B86,#REF!,M$1,FALSE)</f>
        <v>#REF!</v>
      </c>
      <c r="N86" s="12" t="e">
        <f>VLOOKUP($B86,#REF!,N$1,FALSE)</f>
        <v>#REF!</v>
      </c>
      <c r="O86" s="12" t="e">
        <f>VLOOKUP($B86,#REF!,O$1,FALSE)</f>
        <v>#REF!</v>
      </c>
      <c r="P86" s="12" t="e">
        <f>VLOOKUP($B86,#REF!,P$1,FALSE)</f>
        <v>#REF!</v>
      </c>
      <c r="Q86" s="12" t="e">
        <f>VLOOKUP($B86,#REF!,Q$1,FALSE)</f>
        <v>#REF!</v>
      </c>
      <c r="R86" s="12" t="e">
        <f>VLOOKUP($B86,#REF!,R$1,FALSE)</f>
        <v>#REF!</v>
      </c>
      <c r="S86" s="12" t="e">
        <f>VLOOKUP($B86,#REF!,S$1,FALSE)</f>
        <v>#REF!</v>
      </c>
      <c r="T86" s="13">
        <v>-4.36E-2</v>
      </c>
      <c r="U86" s="15" t="s">
        <v>353</v>
      </c>
      <c r="V86" s="4"/>
      <c r="W86" s="4"/>
      <c r="X86" s="6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 ht="15.75" customHeight="1">
      <c r="A87" s="11" t="s">
        <v>354</v>
      </c>
      <c r="B87" s="11" t="s">
        <v>355</v>
      </c>
      <c r="C87" s="12"/>
      <c r="D87" s="12"/>
      <c r="E87" s="11"/>
      <c r="F87" s="11"/>
      <c r="G87" s="12" t="e">
        <f>SUBSTITUTE(VLOOKUP($B87,#REF!,G$1,FALSE),",", ".")</f>
        <v>#REF!</v>
      </c>
      <c r="H87" s="11" t="s">
        <v>356</v>
      </c>
      <c r="I87" s="11" t="s">
        <v>357</v>
      </c>
      <c r="J87" s="11" t="s">
        <v>351</v>
      </c>
      <c r="K87" s="17" t="s">
        <v>358</v>
      </c>
      <c r="L87" s="12" t="e">
        <f>VLOOKUP($B87,#REF!,L$1,FALSE)</f>
        <v>#REF!</v>
      </c>
      <c r="M87" s="12" t="e">
        <f>VLOOKUP($B87,#REF!,M$1,FALSE)</f>
        <v>#REF!</v>
      </c>
      <c r="N87" s="12" t="e">
        <f>VLOOKUP($B87,#REF!,N$1,FALSE)</f>
        <v>#REF!</v>
      </c>
      <c r="O87" s="12" t="e">
        <f>VLOOKUP($B87,#REF!,O$1,FALSE)</f>
        <v>#REF!</v>
      </c>
      <c r="P87" s="12" t="e">
        <f>VLOOKUP($B87,#REF!,P$1,FALSE)</f>
        <v>#REF!</v>
      </c>
      <c r="Q87" s="12" t="e">
        <f>VLOOKUP($B87,#REF!,Q$1,FALSE)</f>
        <v>#REF!</v>
      </c>
      <c r="R87" s="12" t="e">
        <f>VLOOKUP($B87,#REF!,R$1,FALSE)</f>
        <v>#REF!</v>
      </c>
      <c r="S87" s="12" t="e">
        <f>VLOOKUP($B87,#REF!,S$1,FALSE)</f>
        <v>#REF!</v>
      </c>
      <c r="T87" s="13"/>
      <c r="U87" s="15"/>
      <c r="V87" s="4"/>
      <c r="W87" s="4"/>
      <c r="X87" s="6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1:41" ht="15.75" customHeight="1">
      <c r="A88" s="11" t="s">
        <v>359</v>
      </c>
      <c r="B88" s="11" t="s">
        <v>360</v>
      </c>
      <c r="C88" s="12"/>
      <c r="D88" s="12"/>
      <c r="E88" s="11"/>
      <c r="F88" s="11"/>
      <c r="G88" s="12" t="e">
        <f>SUBSTITUTE(VLOOKUP($B88,#REF!,G$1,FALSE),",", ".")</f>
        <v>#REF!</v>
      </c>
      <c r="H88" s="11"/>
      <c r="I88" s="11"/>
      <c r="J88" s="11"/>
      <c r="K88" s="17" t="s">
        <v>361</v>
      </c>
      <c r="L88" s="12" t="e">
        <f>VLOOKUP($B88,#REF!,L$1,FALSE)</f>
        <v>#REF!</v>
      </c>
      <c r="M88" s="12" t="e">
        <f>VLOOKUP($B88,#REF!,M$1,FALSE)</f>
        <v>#REF!</v>
      </c>
      <c r="N88" s="12" t="e">
        <f>VLOOKUP($B88,#REF!,N$1,FALSE)</f>
        <v>#REF!</v>
      </c>
      <c r="O88" s="12" t="e">
        <f>VLOOKUP($B88,#REF!,O$1,FALSE)</f>
        <v>#REF!</v>
      </c>
      <c r="P88" s="12" t="e">
        <f>VLOOKUP($B88,#REF!,P$1,FALSE)</f>
        <v>#REF!</v>
      </c>
      <c r="Q88" s="12" t="e">
        <f>VLOOKUP($B88,#REF!,Q$1,FALSE)</f>
        <v>#REF!</v>
      </c>
      <c r="R88" s="12" t="e">
        <f>VLOOKUP($B88,#REF!,R$1,FALSE)</f>
        <v>#REF!</v>
      </c>
      <c r="S88" s="12" t="e">
        <f>VLOOKUP($B88,#REF!,S$1,FALSE)</f>
        <v>#REF!</v>
      </c>
      <c r="T88" s="13"/>
      <c r="U88" s="15"/>
      <c r="V88" s="4"/>
      <c r="W88" s="4"/>
      <c r="X88" s="6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1:41" ht="15.75" customHeight="1">
      <c r="A89" s="11" t="s">
        <v>362</v>
      </c>
      <c r="B89" s="11" t="s">
        <v>363</v>
      </c>
      <c r="C89" s="12"/>
      <c r="D89" s="12"/>
      <c r="E89" s="11"/>
      <c r="F89" s="11"/>
      <c r="G89" s="12" t="e">
        <f>SUBSTITUTE(VLOOKUP($B89,#REF!,G$1,FALSE),",", ".")</f>
        <v>#REF!</v>
      </c>
      <c r="H89" s="11"/>
      <c r="I89" s="11"/>
      <c r="J89" s="11"/>
      <c r="K89" s="15" t="s">
        <v>364</v>
      </c>
      <c r="L89" s="12" t="e">
        <f>VLOOKUP($B89,#REF!,L$1,FALSE)</f>
        <v>#REF!</v>
      </c>
      <c r="M89" s="12" t="e">
        <f>VLOOKUP($B89,#REF!,M$1,FALSE)</f>
        <v>#REF!</v>
      </c>
      <c r="N89" s="12" t="e">
        <f>VLOOKUP($B89,#REF!,N$1,FALSE)</f>
        <v>#REF!</v>
      </c>
      <c r="O89" s="12" t="e">
        <f>VLOOKUP($B89,#REF!,O$1,FALSE)</f>
        <v>#REF!</v>
      </c>
      <c r="P89" s="12" t="e">
        <f>VLOOKUP($B89,#REF!,P$1,FALSE)</f>
        <v>#REF!</v>
      </c>
      <c r="Q89" s="12" t="e">
        <f>VLOOKUP($B89,#REF!,Q$1,FALSE)</f>
        <v>#REF!</v>
      </c>
      <c r="R89" s="12" t="e">
        <f>VLOOKUP($B89,#REF!,R$1,FALSE)</f>
        <v>#REF!</v>
      </c>
      <c r="S89" s="12" t="e">
        <f>VLOOKUP($B89,#REF!,S$1,FALSE)</f>
        <v>#REF!</v>
      </c>
      <c r="T89" s="13"/>
      <c r="U89" s="15"/>
      <c r="V89" s="4"/>
      <c r="W89" s="4"/>
      <c r="X89" s="6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 ht="15.75" customHeight="1">
      <c r="A90" s="11" t="s">
        <v>365</v>
      </c>
      <c r="B90" s="11" t="s">
        <v>366</v>
      </c>
      <c r="C90" s="12"/>
      <c r="D90" s="12"/>
      <c r="E90" s="11"/>
      <c r="F90" s="11"/>
      <c r="G90" s="12" t="e">
        <f>SUBSTITUTE(VLOOKUP($B90,#REF!,G$1,FALSE),",", ".")</f>
        <v>#REF!</v>
      </c>
      <c r="H90" s="11"/>
      <c r="I90" s="11"/>
      <c r="J90" s="11"/>
      <c r="K90" s="17" t="s">
        <v>367</v>
      </c>
      <c r="L90" s="12" t="e">
        <f>VLOOKUP($B90,#REF!,L$1,FALSE)</f>
        <v>#REF!</v>
      </c>
      <c r="M90" s="12" t="e">
        <f>VLOOKUP($B90,#REF!,M$1,FALSE)</f>
        <v>#REF!</v>
      </c>
      <c r="N90" s="12" t="e">
        <f>VLOOKUP($B90,#REF!,N$1,FALSE)</f>
        <v>#REF!</v>
      </c>
      <c r="O90" s="12" t="e">
        <f>VLOOKUP($B90,#REF!,O$1,FALSE)</f>
        <v>#REF!</v>
      </c>
      <c r="P90" s="12" t="e">
        <f>VLOOKUP($B90,#REF!,P$1,FALSE)</f>
        <v>#REF!</v>
      </c>
      <c r="Q90" s="12" t="e">
        <f>VLOOKUP($B90,#REF!,Q$1,FALSE)</f>
        <v>#REF!</v>
      </c>
      <c r="R90" s="12" t="e">
        <f>VLOOKUP($B90,#REF!,R$1,FALSE)</f>
        <v>#REF!</v>
      </c>
      <c r="S90" s="12" t="e">
        <f>VLOOKUP($B90,#REF!,S$1,FALSE)</f>
        <v>#REF!</v>
      </c>
      <c r="T90" s="13"/>
      <c r="U90" s="15"/>
      <c r="V90" s="4"/>
      <c r="W90" s="4"/>
      <c r="X90" s="6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 ht="15.75" customHeight="1">
      <c r="A91" s="11" t="s">
        <v>368</v>
      </c>
      <c r="B91" s="11" t="s">
        <v>369</v>
      </c>
      <c r="C91" s="11"/>
      <c r="D91" s="11"/>
      <c r="E91" s="11"/>
      <c r="F91" s="11"/>
      <c r="G91" s="12" t="e">
        <f>SUBSTITUTE(VLOOKUP($B91,#REF!,G$1,FALSE),",", ".")</f>
        <v>#REF!</v>
      </c>
      <c r="H91" s="11"/>
      <c r="I91" s="11"/>
      <c r="J91" s="11"/>
      <c r="K91" s="17" t="s">
        <v>370</v>
      </c>
      <c r="L91" s="12" t="e">
        <f>VLOOKUP($B91,#REF!,L$1,FALSE)</f>
        <v>#REF!</v>
      </c>
      <c r="M91" s="12" t="e">
        <f>VLOOKUP($B91,#REF!,M$1,FALSE)</f>
        <v>#REF!</v>
      </c>
      <c r="N91" s="12" t="e">
        <f>VLOOKUP($B91,#REF!,N$1,FALSE)</f>
        <v>#REF!</v>
      </c>
      <c r="O91" s="12" t="e">
        <f>VLOOKUP($B91,#REF!,O$1,FALSE)</f>
        <v>#REF!</v>
      </c>
      <c r="P91" s="12" t="e">
        <f>VLOOKUP($B91,#REF!,P$1,FALSE)</f>
        <v>#REF!</v>
      </c>
      <c r="Q91" s="12" t="e">
        <f>VLOOKUP($B91,#REF!,Q$1,FALSE)</f>
        <v>#REF!</v>
      </c>
      <c r="R91" s="12" t="e">
        <f>VLOOKUP($B91,#REF!,R$1,FALSE)</f>
        <v>#REF!</v>
      </c>
      <c r="S91" s="12" t="e">
        <f>VLOOKUP($B91,#REF!,S$1,FALSE)</f>
        <v>#REF!</v>
      </c>
      <c r="T91" s="11"/>
      <c r="U91" s="11"/>
      <c r="V91" s="30"/>
      <c r="W91" s="30"/>
      <c r="X91" s="6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 spans="1:41" ht="15.75" customHeight="1">
      <c r="A92" s="1" t="s">
        <v>371</v>
      </c>
      <c r="B92" s="1"/>
      <c r="C92" s="1"/>
      <c r="D92" s="7">
        <f>SUM(D93:D101)</f>
        <v>140</v>
      </c>
      <c r="E92" s="1"/>
      <c r="F92" s="1"/>
      <c r="G92" s="1"/>
      <c r="H92" s="1"/>
      <c r="I92" s="1"/>
      <c r="J92" s="1"/>
      <c r="K92" s="3"/>
      <c r="L92" s="1"/>
      <c r="M92" s="1"/>
      <c r="N92" s="1"/>
      <c r="O92" s="1"/>
      <c r="P92" s="1"/>
      <c r="Q92" s="1"/>
      <c r="R92" s="1"/>
      <c r="S92" s="1"/>
      <c r="T92" s="1"/>
      <c r="U92" s="3"/>
      <c r="V92" s="4"/>
      <c r="W92" s="4"/>
      <c r="X92" s="6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 ht="15.75" customHeight="1">
      <c r="A93" s="11" t="s">
        <v>372</v>
      </c>
      <c r="B93" s="11" t="s">
        <v>373</v>
      </c>
      <c r="C93" s="12"/>
      <c r="D93" s="12"/>
      <c r="E93" s="13"/>
      <c r="F93" s="13"/>
      <c r="G93" s="12"/>
      <c r="H93" s="13">
        <v>3.5000000000000001E-3</v>
      </c>
      <c r="I93" s="11" t="s">
        <v>374</v>
      </c>
      <c r="J93" s="11" t="s">
        <v>26</v>
      </c>
      <c r="K93" s="17" t="s">
        <v>375</v>
      </c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4"/>
      <c r="W93" s="4"/>
      <c r="X93" s="6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 ht="15.75" customHeight="1">
      <c r="A94" s="11" t="s">
        <v>376</v>
      </c>
      <c r="B94" s="11" t="s">
        <v>377</v>
      </c>
      <c r="C94" s="12"/>
      <c r="D94" s="12"/>
      <c r="E94" s="13"/>
      <c r="F94" s="13"/>
      <c r="G94" s="12"/>
      <c r="H94" s="13">
        <v>1.5E-3</v>
      </c>
      <c r="I94" s="11"/>
      <c r="J94" s="11" t="s">
        <v>26</v>
      </c>
      <c r="K94" s="17" t="s">
        <v>378</v>
      </c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4"/>
      <c r="W94" s="4"/>
      <c r="X94" s="6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 ht="15.75" customHeight="1">
      <c r="A95" s="11" t="s">
        <v>379</v>
      </c>
      <c r="B95" s="11" t="s">
        <v>380</v>
      </c>
      <c r="C95" s="12"/>
      <c r="D95" s="12"/>
      <c r="E95" s="13"/>
      <c r="F95" s="13"/>
      <c r="G95" s="12"/>
      <c r="H95" s="13">
        <v>7.0000000000000001E-3</v>
      </c>
      <c r="I95" s="11"/>
      <c r="J95" s="11" t="s">
        <v>26</v>
      </c>
      <c r="K95" s="17" t="s">
        <v>381</v>
      </c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4"/>
      <c r="W95" s="4"/>
      <c r="X95" s="6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 ht="15.75" customHeight="1">
      <c r="A96" s="11" t="s">
        <v>382</v>
      </c>
      <c r="B96" s="11" t="s">
        <v>383</v>
      </c>
      <c r="C96" s="12"/>
      <c r="D96" s="12"/>
      <c r="E96" s="13"/>
      <c r="F96" s="13"/>
      <c r="G96" s="12"/>
      <c r="H96" s="13">
        <v>7.0000000000000001E-3</v>
      </c>
      <c r="I96" s="11"/>
      <c r="J96" s="11" t="s">
        <v>26</v>
      </c>
      <c r="K96" s="17" t="s">
        <v>384</v>
      </c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4"/>
      <c r="W96" s="4"/>
      <c r="X96" s="6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1:41" ht="15.75" customHeight="1">
      <c r="A97" s="11" t="s">
        <v>385</v>
      </c>
      <c r="B97" s="11" t="s">
        <v>386</v>
      </c>
      <c r="C97" s="12"/>
      <c r="D97" s="12"/>
      <c r="E97" s="13"/>
      <c r="F97" s="13"/>
      <c r="G97" s="12"/>
      <c r="H97" s="13">
        <v>6.0000000000000001E-3</v>
      </c>
      <c r="I97" s="11" t="s">
        <v>387</v>
      </c>
      <c r="J97" s="11" t="s">
        <v>26</v>
      </c>
      <c r="K97" s="17" t="s">
        <v>388</v>
      </c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4"/>
      <c r="W97" s="4"/>
      <c r="X97" s="6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1:41" ht="15.75" customHeight="1">
      <c r="A98" s="11" t="s">
        <v>389</v>
      </c>
      <c r="B98" s="11" t="s">
        <v>390</v>
      </c>
      <c r="C98" s="12"/>
      <c r="D98" s="12"/>
      <c r="E98" s="13"/>
      <c r="F98" s="13"/>
      <c r="G98" s="12"/>
      <c r="H98" s="13">
        <v>7.4999999999999997E-3</v>
      </c>
      <c r="I98" s="11"/>
      <c r="J98" s="11" t="s">
        <v>26</v>
      </c>
      <c r="K98" s="17" t="s">
        <v>391</v>
      </c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4"/>
      <c r="W98" s="4"/>
      <c r="X98" s="6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 ht="15.75" customHeight="1">
      <c r="A99" s="11" t="s">
        <v>392</v>
      </c>
      <c r="B99" s="11" t="s">
        <v>393</v>
      </c>
      <c r="C99" s="12"/>
      <c r="D99" s="12"/>
      <c r="E99" s="13"/>
      <c r="F99" s="13"/>
      <c r="G99" s="12"/>
      <c r="H99" s="13">
        <v>8.0000000000000002E-3</v>
      </c>
      <c r="I99" s="11"/>
      <c r="J99" s="11" t="s">
        <v>26</v>
      </c>
      <c r="K99" s="17" t="s">
        <v>394</v>
      </c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4"/>
      <c r="W99" s="4"/>
      <c r="X99" s="6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1:41" ht="15.75" customHeight="1">
      <c r="A100" s="11" t="s">
        <v>395</v>
      </c>
      <c r="B100" s="11" t="s">
        <v>396</v>
      </c>
      <c r="C100" s="12"/>
      <c r="D100" s="12"/>
      <c r="E100" s="13"/>
      <c r="F100" s="13"/>
      <c r="G100" s="12"/>
      <c r="H100" s="13">
        <v>2.2000000000000001E-3</v>
      </c>
      <c r="I100" s="11" t="s">
        <v>397</v>
      </c>
      <c r="J100" s="11" t="s">
        <v>26</v>
      </c>
      <c r="K100" s="17" t="s">
        <v>398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4"/>
      <c r="W100" s="4"/>
      <c r="X100" s="6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 ht="15.75" customHeight="1">
      <c r="A101" s="11" t="s">
        <v>399</v>
      </c>
      <c r="B101" s="11" t="s">
        <v>400</v>
      </c>
      <c r="C101" s="12" t="s">
        <v>211</v>
      </c>
      <c r="D101" s="12">
        <v>140</v>
      </c>
      <c r="E101" s="11">
        <v>2</v>
      </c>
      <c r="F101" s="11"/>
      <c r="G101" s="12"/>
      <c r="H101" s="13">
        <v>1.1999999999999999E-3</v>
      </c>
      <c r="I101" s="11" t="s">
        <v>401</v>
      </c>
      <c r="J101" s="11" t="s">
        <v>26</v>
      </c>
      <c r="K101" s="17" t="s">
        <v>402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4"/>
      <c r="W101" s="4"/>
      <c r="X101" s="6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1" ht="15.75" customHeight="1">
      <c r="A102" s="31"/>
      <c r="E102" s="31"/>
      <c r="F102" s="31"/>
      <c r="G102" s="31"/>
      <c r="H102" s="31"/>
      <c r="I102" s="31"/>
      <c r="J102" s="31"/>
      <c r="K102" s="32"/>
      <c r="L102" s="4"/>
      <c r="M102" s="4"/>
      <c r="N102" s="4"/>
      <c r="O102" s="4"/>
      <c r="P102" s="4"/>
      <c r="Q102" s="4"/>
      <c r="R102" s="4"/>
      <c r="S102" s="4"/>
      <c r="T102" s="4"/>
      <c r="U102" s="32"/>
      <c r="V102" s="4"/>
      <c r="W102" s="4"/>
      <c r="X102" s="33" t="e">
        <f>SUM(X2:X101)</f>
        <v>#REF!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 ht="15.75" customHeight="1">
      <c r="K103" s="32"/>
      <c r="L103" s="4"/>
      <c r="M103" s="4"/>
      <c r="N103" s="4"/>
      <c r="O103" s="4"/>
      <c r="P103" s="4"/>
      <c r="Q103" s="4"/>
      <c r="R103" s="4"/>
      <c r="S103" s="4"/>
      <c r="T103" s="4"/>
      <c r="U103" s="32"/>
      <c r="V103" s="4"/>
      <c r="W103" s="4"/>
      <c r="X103" s="34" t="e">
        <f>X102/B112-1</f>
        <v>#REF!</v>
      </c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 ht="15.75" customHeight="1">
      <c r="K104" s="32"/>
      <c r="L104" s="4"/>
      <c r="M104" s="4"/>
      <c r="N104" s="4"/>
      <c r="O104" s="4"/>
      <c r="P104" s="4"/>
      <c r="Q104" s="4"/>
      <c r="R104" s="4"/>
      <c r="S104" s="4"/>
      <c r="T104" s="4"/>
      <c r="U104" s="32"/>
      <c r="V104" s="4"/>
      <c r="W104" s="4"/>
      <c r="X104" s="33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41" ht="15.75" customHeight="1">
      <c r="A105" s="1" t="s">
        <v>403</v>
      </c>
      <c r="B105" s="35" t="e">
        <f>D2</f>
        <v>#REF!</v>
      </c>
      <c r="K105" s="32"/>
      <c r="L105" s="4"/>
      <c r="M105" s="4"/>
      <c r="N105" s="4"/>
      <c r="O105" s="4"/>
      <c r="P105" s="4"/>
      <c r="Q105" s="4"/>
      <c r="R105" s="4"/>
      <c r="S105" s="4"/>
      <c r="T105" s="4"/>
      <c r="U105" s="32"/>
      <c r="V105" s="4"/>
      <c r="W105" s="4"/>
      <c r="X105" s="33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 ht="15.75" customHeight="1">
      <c r="A106" s="1" t="s">
        <v>52</v>
      </c>
      <c r="B106" s="35" t="e">
        <f>D11</f>
        <v>#REF!</v>
      </c>
      <c r="K106" s="32"/>
      <c r="L106" s="4"/>
      <c r="M106" s="4"/>
      <c r="N106" s="4"/>
      <c r="O106" s="4"/>
      <c r="P106" s="4"/>
      <c r="Q106" s="4"/>
      <c r="R106" s="4"/>
      <c r="S106" s="4"/>
      <c r="T106" s="4"/>
      <c r="U106" s="32"/>
      <c r="V106" s="4"/>
      <c r="W106" s="4"/>
      <c r="X106" s="33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 ht="15.75" customHeight="1">
      <c r="A107" s="1" t="s">
        <v>123</v>
      </c>
      <c r="B107" s="35" t="e">
        <f>D28</f>
        <v>#REF!</v>
      </c>
      <c r="K107" s="32"/>
      <c r="L107" s="4"/>
      <c r="M107" s="4"/>
      <c r="N107" s="4"/>
      <c r="O107" s="4"/>
      <c r="P107" s="4"/>
      <c r="Q107" s="4"/>
      <c r="R107" s="4"/>
      <c r="S107" s="4"/>
      <c r="T107" s="4"/>
      <c r="U107" s="32"/>
      <c r="V107" s="4"/>
      <c r="W107" s="4"/>
      <c r="X107" s="33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1:41" ht="15.75" customHeight="1">
      <c r="A108" s="1" t="s">
        <v>208</v>
      </c>
      <c r="B108" s="35" t="e">
        <f>D49</f>
        <v>#REF!</v>
      </c>
      <c r="C108" s="4"/>
      <c r="D108" s="4"/>
      <c r="E108" s="4"/>
      <c r="F108" s="4"/>
      <c r="G108" s="4"/>
      <c r="H108" s="4"/>
      <c r="I108" s="4"/>
      <c r="J108" s="4"/>
      <c r="K108" s="32"/>
      <c r="L108" s="4"/>
      <c r="M108" s="4"/>
      <c r="N108" s="4"/>
      <c r="O108" s="4"/>
      <c r="P108" s="4"/>
      <c r="Q108" s="4"/>
      <c r="R108" s="4"/>
      <c r="S108" s="4"/>
      <c r="T108" s="4"/>
      <c r="U108" s="32"/>
      <c r="V108" s="4"/>
      <c r="W108" s="4"/>
      <c r="X108" s="33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 ht="15.75" customHeight="1">
      <c r="A109" s="1" t="s">
        <v>214</v>
      </c>
      <c r="B109" s="35" t="e">
        <f>D51</f>
        <v>#REF!</v>
      </c>
      <c r="C109" s="4"/>
      <c r="D109" s="4"/>
      <c r="E109" s="4"/>
      <c r="F109" s="4"/>
      <c r="G109" s="4"/>
      <c r="H109" s="4"/>
      <c r="I109" s="4"/>
      <c r="J109" s="4"/>
      <c r="K109" s="32"/>
      <c r="L109" s="4"/>
      <c r="M109" s="4"/>
      <c r="N109" s="4"/>
      <c r="O109" s="4"/>
      <c r="P109" s="4"/>
      <c r="Q109" s="4"/>
      <c r="R109" s="4"/>
      <c r="S109" s="4"/>
      <c r="T109" s="4"/>
      <c r="U109" s="32"/>
      <c r="V109" s="4"/>
      <c r="W109" s="4"/>
      <c r="X109" s="33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1" ht="15.75" customHeight="1">
      <c r="A110" s="1" t="s">
        <v>309</v>
      </c>
      <c r="B110" s="35" t="e">
        <f>D77</f>
        <v>#REF!</v>
      </c>
      <c r="C110" s="4"/>
      <c r="D110" s="4"/>
      <c r="E110" s="4"/>
      <c r="F110" s="4"/>
      <c r="G110" s="4"/>
      <c r="H110" s="4"/>
      <c r="I110" s="4"/>
      <c r="J110" s="4"/>
      <c r="K110" s="32"/>
      <c r="L110" s="4"/>
      <c r="M110" s="4"/>
      <c r="N110" s="4"/>
      <c r="O110" s="4"/>
      <c r="P110" s="4"/>
      <c r="Q110" s="4"/>
      <c r="R110" s="4"/>
      <c r="S110" s="4"/>
      <c r="T110" s="4"/>
      <c r="U110" s="32"/>
      <c r="V110" s="4"/>
      <c r="W110" s="4"/>
      <c r="X110" s="33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41" ht="15.75" customHeight="1">
      <c r="A111" s="1" t="s">
        <v>404</v>
      </c>
      <c r="B111" s="35">
        <f>D92</f>
        <v>140</v>
      </c>
      <c r="C111" s="4"/>
      <c r="D111" s="4"/>
      <c r="E111" s="4"/>
      <c r="F111" s="4"/>
      <c r="G111" s="4"/>
      <c r="H111" s="4"/>
      <c r="I111" s="4"/>
      <c r="J111" s="4"/>
      <c r="K111" s="32"/>
      <c r="L111" s="4"/>
      <c r="M111" s="4"/>
      <c r="N111" s="4"/>
      <c r="O111" s="4"/>
      <c r="P111" s="4"/>
      <c r="Q111" s="4"/>
      <c r="R111" s="4"/>
      <c r="S111" s="4"/>
      <c r="T111" s="4"/>
      <c r="U111" s="32"/>
      <c r="V111" s="4"/>
      <c r="W111" s="4"/>
      <c r="X111" s="33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1:41" ht="15.75" customHeight="1">
      <c r="A112" s="36" t="s">
        <v>405</v>
      </c>
      <c r="B112" s="37" t="e">
        <f>D2+D11+D28+D49+D65+D51+D77+D92</f>
        <v>#REF!</v>
      </c>
      <c r="C112" s="4"/>
      <c r="D112" s="4"/>
      <c r="E112" s="4"/>
      <c r="F112" s="4"/>
      <c r="G112" s="4"/>
      <c r="H112" s="4"/>
      <c r="I112" s="4"/>
      <c r="J112" s="4"/>
      <c r="K112" s="32"/>
      <c r="L112" s="4"/>
      <c r="M112" s="4"/>
      <c r="N112" s="4"/>
      <c r="O112" s="4"/>
      <c r="P112" s="4"/>
      <c r="Q112" s="4"/>
      <c r="R112" s="4"/>
      <c r="S112" s="4"/>
      <c r="T112" s="4"/>
      <c r="U112" s="32"/>
      <c r="V112" s="4"/>
      <c r="W112" s="4"/>
      <c r="X112" s="33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1:41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32"/>
      <c r="L113" s="4"/>
      <c r="M113" s="4"/>
      <c r="N113" s="4"/>
      <c r="O113" s="4"/>
      <c r="P113" s="4"/>
      <c r="Q113" s="4"/>
      <c r="R113" s="4"/>
      <c r="S113" s="4"/>
      <c r="T113" s="4"/>
      <c r="U113" s="32"/>
      <c r="V113" s="4"/>
      <c r="W113" s="4"/>
      <c r="X113" s="33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1:41" ht="15.75" customHeight="1">
      <c r="A114" s="36" t="s">
        <v>22</v>
      </c>
      <c r="B114" s="35" t="e">
        <f t="shared" ref="B114:B118" si="10">SUMIF($C$3:$C$101,$A114,$D$3:$D$101)</f>
        <v>#REF!</v>
      </c>
      <c r="C114" s="4"/>
      <c r="D114" s="4"/>
      <c r="E114" s="4"/>
      <c r="F114" s="4"/>
      <c r="G114" s="4"/>
      <c r="H114" s="4"/>
      <c r="I114" s="4"/>
      <c r="J114" s="4"/>
      <c r="K114" s="32"/>
      <c r="L114" s="4"/>
      <c r="M114" s="4"/>
      <c r="N114" s="4"/>
      <c r="O114" s="4"/>
      <c r="P114" s="4"/>
      <c r="Q114" s="4"/>
      <c r="R114" s="4"/>
      <c r="S114" s="4"/>
      <c r="T114" s="4"/>
      <c r="U114" s="32"/>
      <c r="V114" s="4"/>
      <c r="W114" s="4"/>
      <c r="X114" s="33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1:41" ht="15.75" customHeight="1">
      <c r="A115" s="36" t="s">
        <v>55</v>
      </c>
      <c r="B115" s="35" t="e">
        <f t="shared" si="10"/>
        <v>#REF!</v>
      </c>
      <c r="K115" s="32"/>
      <c r="L115" s="4"/>
      <c r="M115" s="4"/>
      <c r="N115" s="4"/>
      <c r="O115" s="4"/>
      <c r="P115" s="4"/>
      <c r="Q115" s="4"/>
      <c r="R115" s="4"/>
      <c r="S115" s="4"/>
      <c r="T115" s="4"/>
      <c r="U115" s="32"/>
      <c r="V115" s="4"/>
      <c r="W115" s="4"/>
      <c r="X115" s="33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1:41" ht="15.75" customHeight="1">
      <c r="A116" s="36" t="s">
        <v>60</v>
      </c>
      <c r="B116" s="35" t="e">
        <f t="shared" si="10"/>
        <v>#REF!</v>
      </c>
      <c r="K116" s="32"/>
      <c r="L116" s="4"/>
      <c r="M116" s="4"/>
      <c r="N116" s="4"/>
      <c r="O116" s="4"/>
      <c r="P116" s="4"/>
      <c r="Q116" s="4"/>
      <c r="R116" s="4"/>
      <c r="S116" s="4"/>
      <c r="T116" s="4"/>
      <c r="U116" s="32"/>
      <c r="V116" s="4"/>
      <c r="W116" s="4"/>
      <c r="X116" s="33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1:41" ht="15.75" customHeight="1">
      <c r="A117" s="36" t="s">
        <v>141</v>
      </c>
      <c r="B117" s="35" t="e">
        <f t="shared" si="10"/>
        <v>#REF!</v>
      </c>
      <c r="K117" s="32"/>
      <c r="L117" s="4"/>
      <c r="M117" s="4"/>
      <c r="N117" s="4"/>
      <c r="O117" s="4"/>
      <c r="P117" s="4"/>
      <c r="Q117" s="4"/>
      <c r="R117" s="4"/>
      <c r="S117" s="4"/>
      <c r="T117" s="4"/>
      <c r="U117" s="32"/>
      <c r="V117" s="4"/>
      <c r="W117" s="4"/>
      <c r="X117" s="33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1:41" ht="15.75" customHeight="1">
      <c r="A118" s="36" t="s">
        <v>211</v>
      </c>
      <c r="B118" s="35" t="e">
        <f t="shared" si="10"/>
        <v>#REF!</v>
      </c>
      <c r="K118" s="32"/>
      <c r="L118" s="4"/>
      <c r="M118" s="4"/>
      <c r="N118" s="4"/>
      <c r="O118" s="4"/>
      <c r="P118" s="4"/>
      <c r="Q118" s="4"/>
      <c r="R118" s="4"/>
      <c r="S118" s="4"/>
      <c r="T118" s="4"/>
      <c r="U118" s="32"/>
      <c r="V118" s="4"/>
      <c r="W118" s="4"/>
      <c r="X118" s="33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spans="1:41" ht="15.75" customHeight="1">
      <c r="A119" s="38"/>
      <c r="B119" s="39"/>
      <c r="C119" s="38"/>
      <c r="D119" s="38"/>
      <c r="E119" s="38"/>
      <c r="F119" s="38"/>
      <c r="G119" s="38"/>
      <c r="H119" s="38"/>
      <c r="I119" s="39"/>
      <c r="J119" s="4"/>
      <c r="K119" s="32"/>
      <c r="L119" s="4"/>
      <c r="M119" s="4"/>
      <c r="N119" s="4"/>
      <c r="O119" s="4"/>
      <c r="P119" s="4"/>
      <c r="Q119" s="4"/>
      <c r="R119" s="4"/>
      <c r="S119" s="4"/>
      <c r="T119" s="4"/>
      <c r="U119" s="32"/>
      <c r="V119" s="4"/>
      <c r="W119" s="4"/>
      <c r="X119" s="33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spans="1:41" ht="15.75" customHeight="1">
      <c r="A120" s="40"/>
      <c r="B120" s="39"/>
      <c r="C120" s="40"/>
      <c r="D120" s="40"/>
      <c r="E120" s="40"/>
      <c r="F120" s="40"/>
      <c r="G120" s="40"/>
      <c r="H120" s="40"/>
      <c r="I120" s="40"/>
      <c r="J120" s="4"/>
      <c r="K120" s="32"/>
      <c r="L120" s="4"/>
      <c r="M120" s="4"/>
      <c r="N120" s="4"/>
      <c r="O120" s="4"/>
      <c r="P120" s="4"/>
      <c r="Q120" s="4"/>
      <c r="R120" s="4"/>
      <c r="S120" s="4"/>
      <c r="T120" s="4"/>
      <c r="U120" s="32"/>
      <c r="V120" s="4"/>
      <c r="W120" s="4"/>
      <c r="X120" s="33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spans="1:41" ht="15.75" customHeight="1">
      <c r="A121" s="40"/>
      <c r="B121" s="39"/>
      <c r="C121" s="40"/>
      <c r="D121" s="40"/>
      <c r="E121" s="40"/>
      <c r="F121" s="40"/>
      <c r="G121" s="40"/>
      <c r="H121" s="40"/>
      <c r="I121" s="40"/>
      <c r="J121" s="4"/>
      <c r="K121" s="32"/>
      <c r="L121" s="4"/>
      <c r="M121" s="4"/>
      <c r="N121" s="4"/>
      <c r="O121" s="4"/>
      <c r="P121" s="4"/>
      <c r="Q121" s="4"/>
      <c r="R121" s="4"/>
      <c r="S121" s="4"/>
      <c r="T121" s="4"/>
      <c r="U121" s="32"/>
      <c r="V121" s="4"/>
      <c r="W121" s="4"/>
      <c r="X121" s="33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spans="1:41" ht="15.75" customHeight="1">
      <c r="A122" s="40"/>
      <c r="B122" s="39"/>
      <c r="C122" s="40"/>
      <c r="D122" s="40"/>
      <c r="E122" s="40"/>
      <c r="F122" s="40"/>
      <c r="G122" s="40"/>
      <c r="H122" s="40"/>
      <c r="I122" s="40"/>
      <c r="J122" s="4"/>
      <c r="K122" s="32"/>
      <c r="L122" s="4"/>
      <c r="M122" s="4"/>
      <c r="N122" s="4"/>
      <c r="O122" s="4"/>
      <c r="P122" s="4"/>
      <c r="Q122" s="4"/>
      <c r="R122" s="4"/>
      <c r="S122" s="4"/>
      <c r="T122" s="4"/>
      <c r="U122" s="32"/>
      <c r="V122" s="4"/>
      <c r="W122" s="4"/>
      <c r="X122" s="33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spans="1:41" ht="15.75" customHeight="1">
      <c r="A123" s="40"/>
      <c r="B123" s="39"/>
      <c r="C123" s="40"/>
      <c r="D123" s="40"/>
      <c r="E123" s="40"/>
      <c r="F123" s="40"/>
      <c r="G123" s="40"/>
      <c r="H123" s="40"/>
      <c r="I123" s="40"/>
      <c r="J123" s="4"/>
      <c r="K123" s="32"/>
      <c r="L123" s="4"/>
      <c r="M123" s="4"/>
      <c r="N123" s="4"/>
      <c r="O123" s="4"/>
      <c r="P123" s="4"/>
      <c r="Q123" s="4"/>
      <c r="R123" s="4"/>
      <c r="S123" s="4"/>
      <c r="T123" s="4"/>
      <c r="U123" s="32"/>
      <c r="V123" s="4"/>
      <c r="W123" s="4"/>
      <c r="X123" s="33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 ht="15.75" customHeight="1">
      <c r="A124" s="40"/>
      <c r="B124" s="39"/>
      <c r="C124" s="40"/>
      <c r="D124" s="40"/>
      <c r="E124" s="40"/>
      <c r="F124" s="40"/>
      <c r="G124" s="40"/>
      <c r="H124" s="40"/>
      <c r="I124" s="40"/>
      <c r="J124" s="4"/>
      <c r="K124" s="32"/>
      <c r="L124" s="4"/>
      <c r="M124" s="4"/>
      <c r="N124" s="4"/>
      <c r="O124" s="4"/>
      <c r="P124" s="4"/>
      <c r="Q124" s="4"/>
      <c r="R124" s="4"/>
      <c r="S124" s="4"/>
      <c r="T124" s="4"/>
      <c r="U124" s="32"/>
      <c r="V124" s="4"/>
      <c r="W124" s="4"/>
      <c r="X124" s="33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 ht="15.75" customHeight="1">
      <c r="A125" s="40"/>
      <c r="B125" s="39"/>
      <c r="C125" s="40"/>
      <c r="D125" s="40"/>
      <c r="E125" s="40"/>
      <c r="F125" s="40"/>
      <c r="G125" s="40"/>
      <c r="H125" s="40"/>
      <c r="I125" s="40"/>
      <c r="J125" s="4"/>
      <c r="K125" s="32"/>
      <c r="L125" s="4"/>
      <c r="M125" s="4"/>
      <c r="N125" s="4"/>
      <c r="O125" s="4"/>
      <c r="P125" s="4"/>
      <c r="Q125" s="4"/>
      <c r="R125" s="4"/>
      <c r="S125" s="4"/>
      <c r="T125" s="4"/>
      <c r="U125" s="32"/>
      <c r="V125" s="4"/>
      <c r="W125" s="4"/>
      <c r="X125" s="33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 ht="15.75" customHeight="1">
      <c r="A126" s="40"/>
      <c r="B126" s="41"/>
      <c r="C126" s="40"/>
      <c r="D126" s="40"/>
      <c r="E126" s="40"/>
      <c r="F126" s="40"/>
      <c r="G126" s="40"/>
      <c r="H126" s="40"/>
      <c r="I126" s="40"/>
      <c r="J126" s="4"/>
      <c r="K126" s="32"/>
      <c r="L126" s="4"/>
      <c r="M126" s="4"/>
      <c r="N126" s="4"/>
      <c r="O126" s="4"/>
      <c r="P126" s="4"/>
      <c r="Q126" s="4"/>
      <c r="R126" s="4"/>
      <c r="S126" s="4"/>
      <c r="T126" s="4"/>
      <c r="U126" s="32"/>
      <c r="V126" s="4"/>
      <c r="W126" s="4"/>
      <c r="X126" s="33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 ht="15.75" customHeight="1">
      <c r="A127" s="40"/>
      <c r="B127" s="42"/>
      <c r="C127" s="40"/>
      <c r="D127" s="40"/>
      <c r="E127" s="40"/>
      <c r="F127" s="40"/>
      <c r="G127" s="40"/>
      <c r="H127" s="40"/>
      <c r="I127" s="40"/>
      <c r="J127" s="4"/>
      <c r="K127" s="32"/>
      <c r="L127" s="4"/>
      <c r="M127" s="4"/>
      <c r="N127" s="4"/>
      <c r="O127" s="4"/>
      <c r="P127" s="4"/>
      <c r="Q127" s="4"/>
      <c r="R127" s="4"/>
      <c r="S127" s="4"/>
      <c r="T127" s="4"/>
      <c r="U127" s="32"/>
      <c r="V127" s="4"/>
      <c r="W127" s="4"/>
      <c r="X127" s="33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32"/>
      <c r="L128" s="4"/>
      <c r="M128" s="4"/>
      <c r="N128" s="4"/>
      <c r="O128" s="4"/>
      <c r="P128" s="4"/>
      <c r="Q128" s="4"/>
      <c r="R128" s="4"/>
      <c r="S128" s="4"/>
      <c r="T128" s="4"/>
      <c r="U128" s="32"/>
      <c r="V128" s="4"/>
      <c r="W128" s="4"/>
      <c r="X128" s="33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32"/>
      <c r="L129" s="4"/>
      <c r="M129" s="4"/>
      <c r="N129" s="4"/>
      <c r="O129" s="4"/>
      <c r="P129" s="4"/>
      <c r="Q129" s="4"/>
      <c r="R129" s="4"/>
      <c r="S129" s="4"/>
      <c r="T129" s="4"/>
      <c r="U129" s="32"/>
      <c r="V129" s="4"/>
      <c r="W129" s="4"/>
      <c r="X129" s="33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32"/>
      <c r="L130" s="4"/>
      <c r="M130" s="4"/>
      <c r="N130" s="4"/>
      <c r="O130" s="4"/>
      <c r="P130" s="4"/>
      <c r="Q130" s="4"/>
      <c r="R130" s="4"/>
      <c r="S130" s="4"/>
      <c r="T130" s="4"/>
      <c r="U130" s="32"/>
      <c r="V130" s="4"/>
      <c r="W130" s="4"/>
      <c r="X130" s="33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32"/>
      <c r="L131" s="4"/>
      <c r="M131" s="4"/>
      <c r="N131" s="4"/>
      <c r="O131" s="4"/>
      <c r="P131" s="4"/>
      <c r="Q131" s="4"/>
      <c r="R131" s="4"/>
      <c r="S131" s="4"/>
      <c r="T131" s="4"/>
      <c r="U131" s="32"/>
      <c r="V131" s="4"/>
      <c r="W131" s="4"/>
      <c r="X131" s="33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32"/>
      <c r="L132" s="4"/>
      <c r="M132" s="4"/>
      <c r="N132" s="4"/>
      <c r="O132" s="4"/>
      <c r="P132" s="4"/>
      <c r="Q132" s="4"/>
      <c r="R132" s="4"/>
      <c r="S132" s="4"/>
      <c r="T132" s="4"/>
      <c r="U132" s="32"/>
      <c r="V132" s="4"/>
      <c r="W132" s="4"/>
      <c r="X132" s="33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32"/>
      <c r="L133" s="4"/>
      <c r="M133" s="4"/>
      <c r="N133" s="4"/>
      <c r="O133" s="4"/>
      <c r="P133" s="4"/>
      <c r="Q133" s="4"/>
      <c r="R133" s="4"/>
      <c r="S133" s="4"/>
      <c r="T133" s="4"/>
      <c r="U133" s="32"/>
      <c r="V133" s="4"/>
      <c r="W133" s="4"/>
      <c r="X133" s="33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32"/>
      <c r="L134" s="4"/>
      <c r="M134" s="4"/>
      <c r="N134" s="4"/>
      <c r="O134" s="4"/>
      <c r="P134" s="4"/>
      <c r="Q134" s="4"/>
      <c r="R134" s="4"/>
      <c r="S134" s="4"/>
      <c r="T134" s="4"/>
      <c r="U134" s="32"/>
      <c r="V134" s="4"/>
      <c r="W134" s="4"/>
      <c r="X134" s="33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32"/>
      <c r="L135" s="4"/>
      <c r="M135" s="4"/>
      <c r="N135" s="4"/>
      <c r="O135" s="4"/>
      <c r="P135" s="4"/>
      <c r="Q135" s="4"/>
      <c r="R135" s="4"/>
      <c r="S135" s="4"/>
      <c r="T135" s="4"/>
      <c r="U135" s="32"/>
      <c r="V135" s="4"/>
      <c r="W135" s="4"/>
      <c r="X135" s="33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32"/>
      <c r="L136" s="4"/>
      <c r="M136" s="4"/>
      <c r="N136" s="4"/>
      <c r="O136" s="4"/>
      <c r="P136" s="4"/>
      <c r="Q136" s="4"/>
      <c r="R136" s="4"/>
      <c r="S136" s="4"/>
      <c r="T136" s="4"/>
      <c r="U136" s="32"/>
      <c r="V136" s="4"/>
      <c r="W136" s="4"/>
      <c r="X136" s="33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32"/>
      <c r="L137" s="4"/>
      <c r="M137" s="4"/>
      <c r="N137" s="4"/>
      <c r="O137" s="4"/>
      <c r="P137" s="4"/>
      <c r="Q137" s="4"/>
      <c r="R137" s="4"/>
      <c r="S137" s="4"/>
      <c r="T137" s="4"/>
      <c r="U137" s="32"/>
      <c r="V137" s="4"/>
      <c r="W137" s="4"/>
      <c r="X137" s="33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32"/>
      <c r="L138" s="4"/>
      <c r="M138" s="4"/>
      <c r="N138" s="4"/>
      <c r="O138" s="4"/>
      <c r="P138" s="4"/>
      <c r="Q138" s="4"/>
      <c r="R138" s="4"/>
      <c r="S138" s="4"/>
      <c r="T138" s="4"/>
      <c r="U138" s="32"/>
      <c r="V138" s="4"/>
      <c r="W138" s="4"/>
      <c r="X138" s="33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32"/>
      <c r="L139" s="4"/>
      <c r="M139" s="4"/>
      <c r="N139" s="4"/>
      <c r="O139" s="4"/>
      <c r="P139" s="4"/>
      <c r="Q139" s="4"/>
      <c r="R139" s="4"/>
      <c r="S139" s="4"/>
      <c r="T139" s="4"/>
      <c r="U139" s="32"/>
      <c r="V139" s="4"/>
      <c r="W139" s="4"/>
      <c r="X139" s="33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32"/>
      <c r="L140" s="4"/>
      <c r="M140" s="4"/>
      <c r="N140" s="4"/>
      <c r="O140" s="4"/>
      <c r="P140" s="4"/>
      <c r="Q140" s="4"/>
      <c r="R140" s="4"/>
      <c r="S140" s="4"/>
      <c r="T140" s="4"/>
      <c r="U140" s="32"/>
      <c r="V140" s="4"/>
      <c r="W140" s="4"/>
      <c r="X140" s="33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32"/>
      <c r="L141" s="4"/>
      <c r="M141" s="4"/>
      <c r="N141" s="4"/>
      <c r="O141" s="4"/>
      <c r="P141" s="4"/>
      <c r="Q141" s="4"/>
      <c r="R141" s="4"/>
      <c r="S141" s="4"/>
      <c r="T141" s="4"/>
      <c r="U141" s="32"/>
      <c r="V141" s="4"/>
      <c r="W141" s="4"/>
      <c r="X141" s="33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32"/>
      <c r="L142" s="4"/>
      <c r="M142" s="4"/>
      <c r="N142" s="4"/>
      <c r="O142" s="4"/>
      <c r="P142" s="4"/>
      <c r="Q142" s="4"/>
      <c r="R142" s="4"/>
      <c r="S142" s="4"/>
      <c r="T142" s="4"/>
      <c r="U142" s="32"/>
      <c r="V142" s="4"/>
      <c r="W142" s="4"/>
      <c r="X142" s="33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1:41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32"/>
      <c r="L143" s="4"/>
      <c r="M143" s="4"/>
      <c r="N143" s="4"/>
      <c r="O143" s="4"/>
      <c r="P143" s="4"/>
      <c r="Q143" s="4"/>
      <c r="R143" s="4"/>
      <c r="S143" s="4"/>
      <c r="T143" s="4"/>
      <c r="U143" s="32"/>
      <c r="V143" s="4"/>
      <c r="W143" s="4"/>
      <c r="X143" s="33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1:41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32"/>
      <c r="L144" s="4"/>
      <c r="M144" s="4"/>
      <c r="N144" s="4"/>
      <c r="O144" s="4"/>
      <c r="P144" s="4"/>
      <c r="Q144" s="4"/>
      <c r="R144" s="4"/>
      <c r="S144" s="4"/>
      <c r="T144" s="4"/>
      <c r="U144" s="32"/>
      <c r="V144" s="4"/>
      <c r="W144" s="4"/>
      <c r="X144" s="33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1:41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32"/>
      <c r="L145" s="4"/>
      <c r="M145" s="4"/>
      <c r="N145" s="4"/>
      <c r="O145" s="4"/>
      <c r="P145" s="4"/>
      <c r="Q145" s="4"/>
      <c r="R145" s="4"/>
      <c r="S145" s="4"/>
      <c r="T145" s="4"/>
      <c r="U145" s="32"/>
      <c r="V145" s="4"/>
      <c r="W145" s="4"/>
      <c r="X145" s="33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1:41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32"/>
      <c r="L146" s="4"/>
      <c r="M146" s="4"/>
      <c r="N146" s="4"/>
      <c r="O146" s="4"/>
      <c r="P146" s="4"/>
      <c r="Q146" s="4"/>
      <c r="R146" s="4"/>
      <c r="S146" s="4"/>
      <c r="T146" s="4"/>
      <c r="U146" s="32"/>
      <c r="V146" s="4"/>
      <c r="W146" s="4"/>
      <c r="X146" s="33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1:41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32"/>
      <c r="L147" s="4"/>
      <c r="M147" s="4"/>
      <c r="N147" s="4"/>
      <c r="O147" s="4"/>
      <c r="P147" s="4"/>
      <c r="Q147" s="4"/>
      <c r="R147" s="4"/>
      <c r="S147" s="4"/>
      <c r="T147" s="4"/>
      <c r="U147" s="32"/>
      <c r="V147" s="4"/>
      <c r="W147" s="4"/>
      <c r="X147" s="33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1:41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32"/>
      <c r="L148" s="4"/>
      <c r="M148" s="4"/>
      <c r="N148" s="4"/>
      <c r="O148" s="4"/>
      <c r="P148" s="4"/>
      <c r="Q148" s="4"/>
      <c r="R148" s="4"/>
      <c r="S148" s="4"/>
      <c r="T148" s="4"/>
      <c r="U148" s="32"/>
      <c r="V148" s="4"/>
      <c r="W148" s="4"/>
      <c r="X148" s="33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1:41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32"/>
      <c r="L149" s="4"/>
      <c r="M149" s="4"/>
      <c r="N149" s="4"/>
      <c r="O149" s="4"/>
      <c r="P149" s="4"/>
      <c r="Q149" s="4"/>
      <c r="R149" s="4"/>
      <c r="S149" s="4"/>
      <c r="T149" s="4"/>
      <c r="U149" s="32"/>
      <c r="V149" s="4"/>
      <c r="W149" s="4"/>
      <c r="X149" s="33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1:41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32"/>
      <c r="L150" s="4"/>
      <c r="M150" s="4"/>
      <c r="N150" s="4"/>
      <c r="O150" s="4"/>
      <c r="P150" s="4"/>
      <c r="Q150" s="4"/>
      <c r="R150" s="4"/>
      <c r="S150" s="4"/>
      <c r="T150" s="4"/>
      <c r="U150" s="32"/>
      <c r="V150" s="4"/>
      <c r="W150" s="4"/>
      <c r="X150" s="33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32"/>
      <c r="L151" s="4"/>
      <c r="M151" s="4"/>
      <c r="N151" s="4"/>
      <c r="O151" s="4"/>
      <c r="P151" s="4"/>
      <c r="Q151" s="4"/>
      <c r="R151" s="4"/>
      <c r="S151" s="4"/>
      <c r="T151" s="4"/>
      <c r="U151" s="32"/>
      <c r="V151" s="4"/>
      <c r="W151" s="4"/>
      <c r="X151" s="33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32"/>
      <c r="L152" s="4"/>
      <c r="M152" s="4"/>
      <c r="N152" s="4"/>
      <c r="O152" s="4"/>
      <c r="P152" s="4"/>
      <c r="Q152" s="4"/>
      <c r="R152" s="4"/>
      <c r="S152" s="4"/>
      <c r="T152" s="4"/>
      <c r="U152" s="32"/>
      <c r="V152" s="4"/>
      <c r="W152" s="4"/>
      <c r="X152" s="33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32"/>
      <c r="L153" s="4"/>
      <c r="M153" s="4"/>
      <c r="N153" s="4"/>
      <c r="O153" s="4"/>
      <c r="P153" s="4"/>
      <c r="Q153" s="4"/>
      <c r="R153" s="4"/>
      <c r="S153" s="4"/>
      <c r="T153" s="4"/>
      <c r="U153" s="32"/>
      <c r="V153" s="4"/>
      <c r="W153" s="4"/>
      <c r="X153" s="33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32"/>
      <c r="L154" s="4"/>
      <c r="M154" s="4"/>
      <c r="N154" s="4"/>
      <c r="O154" s="4"/>
      <c r="P154" s="4"/>
      <c r="Q154" s="4"/>
      <c r="R154" s="4"/>
      <c r="S154" s="4"/>
      <c r="T154" s="4"/>
      <c r="U154" s="32"/>
      <c r="V154" s="4"/>
      <c r="W154" s="4"/>
      <c r="X154" s="33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1:41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32"/>
      <c r="L155" s="4"/>
      <c r="M155" s="4"/>
      <c r="N155" s="4"/>
      <c r="O155" s="4"/>
      <c r="P155" s="4"/>
      <c r="Q155" s="4"/>
      <c r="R155" s="4"/>
      <c r="S155" s="4"/>
      <c r="T155" s="4"/>
      <c r="U155" s="32"/>
      <c r="V155" s="4"/>
      <c r="W155" s="4"/>
      <c r="X155" s="33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32"/>
      <c r="L156" s="4"/>
      <c r="M156" s="4"/>
      <c r="N156" s="4"/>
      <c r="O156" s="4"/>
      <c r="P156" s="4"/>
      <c r="Q156" s="4"/>
      <c r="R156" s="4"/>
      <c r="S156" s="4"/>
      <c r="T156" s="4"/>
      <c r="U156" s="32"/>
      <c r="V156" s="4"/>
      <c r="W156" s="4"/>
      <c r="X156" s="33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32"/>
      <c r="L157" s="4"/>
      <c r="M157" s="4"/>
      <c r="N157" s="4"/>
      <c r="O157" s="4"/>
      <c r="P157" s="4"/>
      <c r="Q157" s="4"/>
      <c r="R157" s="4"/>
      <c r="S157" s="4"/>
      <c r="T157" s="4"/>
      <c r="U157" s="32"/>
      <c r="V157" s="4"/>
      <c r="W157" s="4"/>
      <c r="X157" s="33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32"/>
      <c r="L158" s="4"/>
      <c r="M158" s="4"/>
      <c r="N158" s="4"/>
      <c r="O158" s="4"/>
      <c r="P158" s="4"/>
      <c r="Q158" s="4"/>
      <c r="R158" s="4"/>
      <c r="S158" s="4"/>
      <c r="T158" s="4"/>
      <c r="U158" s="32"/>
      <c r="V158" s="4"/>
      <c r="W158" s="4"/>
      <c r="X158" s="33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32"/>
      <c r="L159" s="4"/>
      <c r="M159" s="4"/>
      <c r="N159" s="4"/>
      <c r="O159" s="4"/>
      <c r="P159" s="4"/>
      <c r="Q159" s="4"/>
      <c r="R159" s="4"/>
      <c r="S159" s="4"/>
      <c r="T159" s="4"/>
      <c r="U159" s="32"/>
      <c r="V159" s="4"/>
      <c r="W159" s="4"/>
      <c r="X159" s="33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32"/>
      <c r="L160" s="4"/>
      <c r="M160" s="4"/>
      <c r="N160" s="4"/>
      <c r="O160" s="4"/>
      <c r="P160" s="4"/>
      <c r="Q160" s="4"/>
      <c r="R160" s="4"/>
      <c r="S160" s="4"/>
      <c r="T160" s="4"/>
      <c r="U160" s="32"/>
      <c r="V160" s="4"/>
      <c r="W160" s="4"/>
      <c r="X160" s="33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32"/>
      <c r="L161" s="4"/>
      <c r="M161" s="4"/>
      <c r="N161" s="4"/>
      <c r="O161" s="4"/>
      <c r="P161" s="4"/>
      <c r="Q161" s="4"/>
      <c r="R161" s="4"/>
      <c r="S161" s="4"/>
      <c r="T161" s="4"/>
      <c r="U161" s="32"/>
      <c r="V161" s="4"/>
      <c r="W161" s="4"/>
      <c r="X161" s="33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32"/>
      <c r="L162" s="4"/>
      <c r="M162" s="4"/>
      <c r="N162" s="4"/>
      <c r="O162" s="4"/>
      <c r="P162" s="4"/>
      <c r="Q162" s="4"/>
      <c r="R162" s="4"/>
      <c r="S162" s="4"/>
      <c r="T162" s="4"/>
      <c r="U162" s="32"/>
      <c r="V162" s="4"/>
      <c r="W162" s="4"/>
      <c r="X162" s="33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32"/>
      <c r="L163" s="4"/>
      <c r="M163" s="4"/>
      <c r="N163" s="4"/>
      <c r="O163" s="4"/>
      <c r="P163" s="4"/>
      <c r="Q163" s="4"/>
      <c r="R163" s="4"/>
      <c r="S163" s="4"/>
      <c r="T163" s="4"/>
      <c r="U163" s="32"/>
      <c r="V163" s="4"/>
      <c r="W163" s="4"/>
      <c r="X163" s="33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32"/>
      <c r="L164" s="4"/>
      <c r="M164" s="4"/>
      <c r="N164" s="4"/>
      <c r="O164" s="4"/>
      <c r="P164" s="4"/>
      <c r="Q164" s="4"/>
      <c r="R164" s="4"/>
      <c r="S164" s="4"/>
      <c r="T164" s="4"/>
      <c r="U164" s="32"/>
      <c r="V164" s="4"/>
      <c r="W164" s="4"/>
      <c r="X164" s="33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32"/>
      <c r="L165" s="4"/>
      <c r="M165" s="4"/>
      <c r="N165" s="4"/>
      <c r="O165" s="4"/>
      <c r="P165" s="4"/>
      <c r="Q165" s="4"/>
      <c r="R165" s="4"/>
      <c r="S165" s="4"/>
      <c r="T165" s="4"/>
      <c r="U165" s="32"/>
      <c r="V165" s="4"/>
      <c r="W165" s="4"/>
      <c r="X165" s="33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32"/>
      <c r="L166" s="4"/>
      <c r="M166" s="4"/>
      <c r="N166" s="4"/>
      <c r="O166" s="4"/>
      <c r="P166" s="4"/>
      <c r="Q166" s="4"/>
      <c r="R166" s="4"/>
      <c r="S166" s="4"/>
      <c r="T166" s="4"/>
      <c r="U166" s="32"/>
      <c r="V166" s="4"/>
      <c r="W166" s="4"/>
      <c r="X166" s="33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32"/>
      <c r="L167" s="4"/>
      <c r="M167" s="4"/>
      <c r="N167" s="4"/>
      <c r="O167" s="4"/>
      <c r="P167" s="4"/>
      <c r="Q167" s="4"/>
      <c r="R167" s="4"/>
      <c r="S167" s="4"/>
      <c r="T167" s="4"/>
      <c r="U167" s="32"/>
      <c r="V167" s="4"/>
      <c r="W167" s="4"/>
      <c r="X167" s="33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32"/>
      <c r="L168" s="4"/>
      <c r="M168" s="4"/>
      <c r="N168" s="4"/>
      <c r="O168" s="4"/>
      <c r="P168" s="4"/>
      <c r="Q168" s="4"/>
      <c r="R168" s="4"/>
      <c r="S168" s="4"/>
      <c r="T168" s="4"/>
      <c r="U168" s="32"/>
      <c r="V168" s="4"/>
      <c r="W168" s="4"/>
      <c r="X168" s="33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spans="1:41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32"/>
      <c r="L169" s="4"/>
      <c r="M169" s="4"/>
      <c r="N169" s="4"/>
      <c r="O169" s="4"/>
      <c r="P169" s="4"/>
      <c r="Q169" s="4"/>
      <c r="R169" s="4"/>
      <c r="S169" s="4"/>
      <c r="T169" s="4"/>
      <c r="U169" s="32"/>
      <c r="V169" s="4"/>
      <c r="W169" s="4"/>
      <c r="X169" s="33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spans="1:41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32"/>
      <c r="L170" s="4"/>
      <c r="M170" s="4"/>
      <c r="N170" s="4"/>
      <c r="O170" s="4"/>
      <c r="P170" s="4"/>
      <c r="Q170" s="4"/>
      <c r="R170" s="4"/>
      <c r="S170" s="4"/>
      <c r="T170" s="4"/>
      <c r="U170" s="32"/>
      <c r="V170" s="4"/>
      <c r="W170" s="4"/>
      <c r="X170" s="33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1:4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32"/>
      <c r="L171" s="4"/>
      <c r="M171" s="4"/>
      <c r="N171" s="4"/>
      <c r="O171" s="4"/>
      <c r="P171" s="4"/>
      <c r="Q171" s="4"/>
      <c r="R171" s="4"/>
      <c r="S171" s="4"/>
      <c r="T171" s="4"/>
      <c r="U171" s="32"/>
      <c r="V171" s="4"/>
      <c r="W171" s="4"/>
      <c r="X171" s="33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spans="1:41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32"/>
      <c r="L172" s="4"/>
      <c r="M172" s="4"/>
      <c r="N172" s="4"/>
      <c r="O172" s="4"/>
      <c r="P172" s="4"/>
      <c r="Q172" s="4"/>
      <c r="R172" s="4"/>
      <c r="S172" s="4"/>
      <c r="T172" s="4"/>
      <c r="U172" s="32"/>
      <c r="V172" s="4"/>
      <c r="W172" s="4"/>
      <c r="X172" s="33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spans="1:41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32"/>
      <c r="L173" s="4"/>
      <c r="M173" s="4"/>
      <c r="N173" s="4"/>
      <c r="O173" s="4"/>
      <c r="P173" s="4"/>
      <c r="Q173" s="4"/>
      <c r="R173" s="4"/>
      <c r="S173" s="4"/>
      <c r="T173" s="4"/>
      <c r="U173" s="32"/>
      <c r="V173" s="4"/>
      <c r="W173" s="4"/>
      <c r="X173" s="33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spans="1:41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32"/>
      <c r="L174" s="4"/>
      <c r="M174" s="4"/>
      <c r="N174" s="4"/>
      <c r="O174" s="4"/>
      <c r="P174" s="4"/>
      <c r="Q174" s="4"/>
      <c r="R174" s="4"/>
      <c r="S174" s="4"/>
      <c r="T174" s="4"/>
      <c r="U174" s="32"/>
      <c r="V174" s="4"/>
      <c r="W174" s="4"/>
      <c r="X174" s="33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spans="1:41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32"/>
      <c r="L175" s="4"/>
      <c r="M175" s="4"/>
      <c r="N175" s="4"/>
      <c r="O175" s="4"/>
      <c r="P175" s="4"/>
      <c r="Q175" s="4"/>
      <c r="R175" s="4"/>
      <c r="S175" s="4"/>
      <c r="T175" s="4"/>
      <c r="U175" s="32"/>
      <c r="V175" s="4"/>
      <c r="W175" s="4"/>
      <c r="X175" s="33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1:41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32"/>
      <c r="L176" s="4"/>
      <c r="M176" s="4"/>
      <c r="N176" s="4"/>
      <c r="O176" s="4"/>
      <c r="P176" s="4"/>
      <c r="Q176" s="4"/>
      <c r="R176" s="4"/>
      <c r="S176" s="4"/>
      <c r="T176" s="4"/>
      <c r="U176" s="32"/>
      <c r="V176" s="4"/>
      <c r="W176" s="4"/>
      <c r="X176" s="33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spans="1:41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32"/>
      <c r="L177" s="4"/>
      <c r="M177" s="4"/>
      <c r="N177" s="4"/>
      <c r="O177" s="4"/>
      <c r="P177" s="4"/>
      <c r="Q177" s="4"/>
      <c r="R177" s="4"/>
      <c r="S177" s="4"/>
      <c r="T177" s="4"/>
      <c r="U177" s="32"/>
      <c r="V177" s="4"/>
      <c r="W177" s="4"/>
      <c r="X177" s="33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spans="1:41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32"/>
      <c r="L178" s="4"/>
      <c r="M178" s="4"/>
      <c r="N178" s="4"/>
      <c r="O178" s="4"/>
      <c r="P178" s="4"/>
      <c r="Q178" s="4"/>
      <c r="R178" s="4"/>
      <c r="S178" s="4"/>
      <c r="T178" s="4"/>
      <c r="U178" s="32"/>
      <c r="V178" s="4"/>
      <c r="W178" s="4"/>
      <c r="X178" s="33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spans="1:41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32"/>
      <c r="L179" s="4"/>
      <c r="M179" s="4"/>
      <c r="N179" s="4"/>
      <c r="O179" s="4"/>
      <c r="P179" s="4"/>
      <c r="Q179" s="4"/>
      <c r="R179" s="4"/>
      <c r="S179" s="4"/>
      <c r="T179" s="4"/>
      <c r="U179" s="32"/>
      <c r="V179" s="4"/>
      <c r="W179" s="4"/>
      <c r="X179" s="33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spans="1:41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32"/>
      <c r="L180" s="4"/>
      <c r="M180" s="4"/>
      <c r="N180" s="4"/>
      <c r="O180" s="4"/>
      <c r="P180" s="4"/>
      <c r="Q180" s="4"/>
      <c r="R180" s="4"/>
      <c r="S180" s="4"/>
      <c r="T180" s="4"/>
      <c r="U180" s="32"/>
      <c r="V180" s="4"/>
      <c r="W180" s="4"/>
      <c r="X180" s="33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spans="1:4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32"/>
      <c r="L181" s="4"/>
      <c r="M181" s="4"/>
      <c r="N181" s="4"/>
      <c r="O181" s="4"/>
      <c r="P181" s="4"/>
      <c r="Q181" s="4"/>
      <c r="R181" s="4"/>
      <c r="S181" s="4"/>
      <c r="T181" s="4"/>
      <c r="U181" s="32"/>
      <c r="V181" s="4"/>
      <c r="W181" s="4"/>
      <c r="X181" s="33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spans="1:41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32"/>
      <c r="L182" s="4"/>
      <c r="M182" s="4"/>
      <c r="N182" s="4"/>
      <c r="O182" s="4"/>
      <c r="P182" s="4"/>
      <c r="Q182" s="4"/>
      <c r="R182" s="4"/>
      <c r="S182" s="4"/>
      <c r="T182" s="4"/>
      <c r="U182" s="32"/>
      <c r="V182" s="4"/>
      <c r="W182" s="4"/>
      <c r="X182" s="33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spans="1:41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32"/>
      <c r="L183" s="4"/>
      <c r="M183" s="4"/>
      <c r="N183" s="4"/>
      <c r="O183" s="4"/>
      <c r="P183" s="4"/>
      <c r="Q183" s="4"/>
      <c r="R183" s="4"/>
      <c r="S183" s="4"/>
      <c r="T183" s="4"/>
      <c r="U183" s="32"/>
      <c r="V183" s="4"/>
      <c r="W183" s="4"/>
      <c r="X183" s="33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spans="1:41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32"/>
      <c r="L184" s="4"/>
      <c r="M184" s="4"/>
      <c r="N184" s="4"/>
      <c r="O184" s="4"/>
      <c r="P184" s="4"/>
      <c r="Q184" s="4"/>
      <c r="R184" s="4"/>
      <c r="S184" s="4"/>
      <c r="T184" s="4"/>
      <c r="U184" s="32"/>
      <c r="V184" s="4"/>
      <c r="W184" s="4"/>
      <c r="X184" s="33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spans="1:41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32"/>
      <c r="L185" s="4"/>
      <c r="M185" s="4"/>
      <c r="N185" s="4"/>
      <c r="O185" s="4"/>
      <c r="P185" s="4"/>
      <c r="Q185" s="4"/>
      <c r="R185" s="4"/>
      <c r="S185" s="4"/>
      <c r="T185" s="4"/>
      <c r="U185" s="32"/>
      <c r="V185" s="4"/>
      <c r="W185" s="4"/>
      <c r="X185" s="33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spans="1:41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32"/>
      <c r="L186" s="4"/>
      <c r="M186" s="4"/>
      <c r="N186" s="4"/>
      <c r="O186" s="4"/>
      <c r="P186" s="4"/>
      <c r="Q186" s="4"/>
      <c r="R186" s="4"/>
      <c r="S186" s="4"/>
      <c r="T186" s="4"/>
      <c r="U186" s="32"/>
      <c r="V186" s="4"/>
      <c r="W186" s="4"/>
      <c r="X186" s="33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spans="1:41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32"/>
      <c r="L187" s="4"/>
      <c r="M187" s="4"/>
      <c r="N187" s="4"/>
      <c r="O187" s="4"/>
      <c r="P187" s="4"/>
      <c r="Q187" s="4"/>
      <c r="R187" s="4"/>
      <c r="S187" s="4"/>
      <c r="T187" s="4"/>
      <c r="U187" s="32"/>
      <c r="V187" s="4"/>
      <c r="W187" s="4"/>
      <c r="X187" s="33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1:41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32"/>
      <c r="L188" s="4"/>
      <c r="M188" s="4"/>
      <c r="N188" s="4"/>
      <c r="O188" s="4"/>
      <c r="P188" s="4"/>
      <c r="Q188" s="4"/>
      <c r="R188" s="4"/>
      <c r="S188" s="4"/>
      <c r="T188" s="4"/>
      <c r="U188" s="32"/>
      <c r="V188" s="4"/>
      <c r="W188" s="4"/>
      <c r="X188" s="33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spans="1:41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32"/>
      <c r="L189" s="4"/>
      <c r="M189" s="4"/>
      <c r="N189" s="4"/>
      <c r="O189" s="4"/>
      <c r="P189" s="4"/>
      <c r="Q189" s="4"/>
      <c r="R189" s="4"/>
      <c r="S189" s="4"/>
      <c r="T189" s="4"/>
      <c r="U189" s="32"/>
      <c r="V189" s="4"/>
      <c r="W189" s="4"/>
      <c r="X189" s="33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spans="1:41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32"/>
      <c r="L190" s="4"/>
      <c r="M190" s="4"/>
      <c r="N190" s="4"/>
      <c r="O190" s="4"/>
      <c r="P190" s="4"/>
      <c r="Q190" s="4"/>
      <c r="R190" s="4"/>
      <c r="S190" s="4"/>
      <c r="T190" s="4"/>
      <c r="U190" s="32"/>
      <c r="V190" s="4"/>
      <c r="W190" s="4"/>
      <c r="X190" s="33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spans="1:4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32"/>
      <c r="L191" s="4"/>
      <c r="M191" s="4"/>
      <c r="N191" s="4"/>
      <c r="O191" s="4"/>
      <c r="P191" s="4"/>
      <c r="Q191" s="4"/>
      <c r="R191" s="4"/>
      <c r="S191" s="4"/>
      <c r="T191" s="4"/>
      <c r="U191" s="32"/>
      <c r="V191" s="4"/>
      <c r="W191" s="4"/>
      <c r="X191" s="33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spans="1:41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32"/>
      <c r="L192" s="4"/>
      <c r="M192" s="4"/>
      <c r="N192" s="4"/>
      <c r="O192" s="4"/>
      <c r="P192" s="4"/>
      <c r="Q192" s="4"/>
      <c r="R192" s="4"/>
      <c r="S192" s="4"/>
      <c r="T192" s="4"/>
      <c r="U192" s="32"/>
      <c r="V192" s="4"/>
      <c r="W192" s="4"/>
      <c r="X192" s="33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spans="1:41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32"/>
      <c r="L193" s="4"/>
      <c r="M193" s="4"/>
      <c r="N193" s="4"/>
      <c r="O193" s="4"/>
      <c r="P193" s="4"/>
      <c r="Q193" s="4"/>
      <c r="R193" s="4"/>
      <c r="S193" s="4"/>
      <c r="T193" s="4"/>
      <c r="U193" s="32"/>
      <c r="V193" s="4"/>
      <c r="W193" s="4"/>
      <c r="X193" s="33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spans="1:41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32"/>
      <c r="L194" s="4"/>
      <c r="M194" s="4"/>
      <c r="N194" s="4"/>
      <c r="O194" s="4"/>
      <c r="P194" s="4"/>
      <c r="Q194" s="4"/>
      <c r="R194" s="4"/>
      <c r="S194" s="4"/>
      <c r="T194" s="4"/>
      <c r="U194" s="32"/>
      <c r="V194" s="4"/>
      <c r="W194" s="4"/>
      <c r="X194" s="33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spans="1:41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32"/>
      <c r="L195" s="4"/>
      <c r="M195" s="4"/>
      <c r="N195" s="4"/>
      <c r="O195" s="4"/>
      <c r="P195" s="4"/>
      <c r="Q195" s="4"/>
      <c r="R195" s="4"/>
      <c r="S195" s="4"/>
      <c r="T195" s="4"/>
      <c r="U195" s="32"/>
      <c r="V195" s="4"/>
      <c r="W195" s="4"/>
      <c r="X195" s="33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spans="1:41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32"/>
      <c r="L196" s="4"/>
      <c r="M196" s="4"/>
      <c r="N196" s="4"/>
      <c r="O196" s="4"/>
      <c r="P196" s="4"/>
      <c r="Q196" s="4"/>
      <c r="R196" s="4"/>
      <c r="S196" s="4"/>
      <c r="T196" s="4"/>
      <c r="U196" s="32"/>
      <c r="V196" s="4"/>
      <c r="W196" s="4"/>
      <c r="X196" s="33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spans="1:41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32"/>
      <c r="L197" s="4"/>
      <c r="M197" s="4"/>
      <c r="N197" s="4"/>
      <c r="O197" s="4"/>
      <c r="P197" s="4"/>
      <c r="Q197" s="4"/>
      <c r="R197" s="4"/>
      <c r="S197" s="4"/>
      <c r="T197" s="4"/>
      <c r="U197" s="32"/>
      <c r="V197" s="4"/>
      <c r="W197" s="4"/>
      <c r="X197" s="33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spans="1:41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32"/>
      <c r="L198" s="4"/>
      <c r="M198" s="4"/>
      <c r="N198" s="4"/>
      <c r="O198" s="4"/>
      <c r="P198" s="4"/>
      <c r="Q198" s="4"/>
      <c r="R198" s="4"/>
      <c r="S198" s="4"/>
      <c r="T198" s="4"/>
      <c r="U198" s="32"/>
      <c r="V198" s="4"/>
      <c r="W198" s="4"/>
      <c r="X198" s="33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spans="1:41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32"/>
      <c r="L199" s="4"/>
      <c r="M199" s="4"/>
      <c r="N199" s="4"/>
      <c r="O199" s="4"/>
      <c r="P199" s="4"/>
      <c r="Q199" s="4"/>
      <c r="R199" s="4"/>
      <c r="S199" s="4"/>
      <c r="T199" s="4"/>
      <c r="U199" s="32"/>
      <c r="V199" s="4"/>
      <c r="W199" s="4"/>
      <c r="X199" s="33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spans="1:41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32"/>
      <c r="L200" s="4"/>
      <c r="M200" s="4"/>
      <c r="N200" s="4"/>
      <c r="O200" s="4"/>
      <c r="P200" s="4"/>
      <c r="Q200" s="4"/>
      <c r="R200" s="4"/>
      <c r="S200" s="4"/>
      <c r="T200" s="4"/>
      <c r="U200" s="32"/>
      <c r="V200" s="4"/>
      <c r="W200" s="4"/>
      <c r="X200" s="33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spans="1:4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32"/>
      <c r="L201" s="4"/>
      <c r="M201" s="4"/>
      <c r="N201" s="4"/>
      <c r="O201" s="4"/>
      <c r="P201" s="4"/>
      <c r="Q201" s="4"/>
      <c r="R201" s="4"/>
      <c r="S201" s="4"/>
      <c r="T201" s="4"/>
      <c r="U201" s="32"/>
      <c r="V201" s="4"/>
      <c r="W201" s="4"/>
      <c r="X201" s="33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spans="1:41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32"/>
      <c r="L202" s="4"/>
      <c r="M202" s="4"/>
      <c r="N202" s="4"/>
      <c r="O202" s="4"/>
      <c r="P202" s="4"/>
      <c r="Q202" s="4"/>
      <c r="R202" s="4"/>
      <c r="S202" s="4"/>
      <c r="T202" s="4"/>
      <c r="U202" s="32"/>
      <c r="V202" s="4"/>
      <c r="W202" s="4"/>
      <c r="X202" s="33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spans="1:41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32"/>
      <c r="L203" s="4"/>
      <c r="M203" s="4"/>
      <c r="N203" s="4"/>
      <c r="O203" s="4"/>
      <c r="P203" s="4"/>
      <c r="Q203" s="4"/>
      <c r="R203" s="4"/>
      <c r="S203" s="4"/>
      <c r="T203" s="4"/>
      <c r="U203" s="32"/>
      <c r="V203" s="4"/>
      <c r="W203" s="4"/>
      <c r="X203" s="33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spans="1:41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32"/>
      <c r="L204" s="4"/>
      <c r="M204" s="4"/>
      <c r="N204" s="4"/>
      <c r="O204" s="4"/>
      <c r="P204" s="4"/>
      <c r="Q204" s="4"/>
      <c r="R204" s="4"/>
      <c r="S204" s="4"/>
      <c r="T204" s="4"/>
      <c r="U204" s="32"/>
      <c r="V204" s="4"/>
      <c r="W204" s="4"/>
      <c r="X204" s="33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spans="1:41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32"/>
      <c r="L205" s="4"/>
      <c r="M205" s="4"/>
      <c r="N205" s="4"/>
      <c r="O205" s="4"/>
      <c r="P205" s="4"/>
      <c r="Q205" s="4"/>
      <c r="R205" s="4"/>
      <c r="S205" s="4"/>
      <c r="T205" s="4"/>
      <c r="U205" s="32"/>
      <c r="V205" s="4"/>
      <c r="W205" s="4"/>
      <c r="X205" s="33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spans="1:41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32"/>
      <c r="L206" s="4"/>
      <c r="M206" s="4"/>
      <c r="N206" s="4"/>
      <c r="O206" s="4"/>
      <c r="P206" s="4"/>
      <c r="Q206" s="4"/>
      <c r="R206" s="4"/>
      <c r="S206" s="4"/>
      <c r="T206" s="4"/>
      <c r="U206" s="32"/>
      <c r="V206" s="4"/>
      <c r="W206" s="4"/>
      <c r="X206" s="33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spans="1:41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32"/>
      <c r="L207" s="4"/>
      <c r="M207" s="4"/>
      <c r="N207" s="4"/>
      <c r="O207" s="4"/>
      <c r="P207" s="4"/>
      <c r="Q207" s="4"/>
      <c r="R207" s="4"/>
      <c r="S207" s="4"/>
      <c r="T207" s="4"/>
      <c r="U207" s="32"/>
      <c r="V207" s="4"/>
      <c r="W207" s="4"/>
      <c r="X207" s="33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spans="1:41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32"/>
      <c r="L208" s="4"/>
      <c r="M208" s="4"/>
      <c r="N208" s="4"/>
      <c r="O208" s="4"/>
      <c r="P208" s="4"/>
      <c r="Q208" s="4"/>
      <c r="R208" s="4"/>
      <c r="S208" s="4"/>
      <c r="T208" s="4"/>
      <c r="U208" s="32"/>
      <c r="V208" s="4"/>
      <c r="W208" s="4"/>
      <c r="X208" s="33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spans="1:41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32"/>
      <c r="L209" s="4"/>
      <c r="M209" s="4"/>
      <c r="N209" s="4"/>
      <c r="O209" s="4"/>
      <c r="P209" s="4"/>
      <c r="Q209" s="4"/>
      <c r="R209" s="4"/>
      <c r="S209" s="4"/>
      <c r="T209" s="4"/>
      <c r="U209" s="32"/>
      <c r="V209" s="4"/>
      <c r="W209" s="4"/>
      <c r="X209" s="33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spans="1:41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32"/>
      <c r="L210" s="4"/>
      <c r="M210" s="4"/>
      <c r="N210" s="4"/>
      <c r="O210" s="4"/>
      <c r="P210" s="4"/>
      <c r="Q210" s="4"/>
      <c r="R210" s="4"/>
      <c r="S210" s="4"/>
      <c r="T210" s="4"/>
      <c r="U210" s="32"/>
      <c r="V210" s="4"/>
      <c r="W210" s="4"/>
      <c r="X210" s="33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spans="1:4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32"/>
      <c r="L211" s="4"/>
      <c r="M211" s="4"/>
      <c r="N211" s="4"/>
      <c r="O211" s="4"/>
      <c r="P211" s="4"/>
      <c r="Q211" s="4"/>
      <c r="R211" s="4"/>
      <c r="S211" s="4"/>
      <c r="T211" s="4"/>
      <c r="U211" s="32"/>
      <c r="V211" s="4"/>
      <c r="W211" s="4"/>
      <c r="X211" s="33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spans="1:41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32"/>
      <c r="L212" s="4"/>
      <c r="M212" s="4"/>
      <c r="N212" s="4"/>
      <c r="O212" s="4"/>
      <c r="P212" s="4"/>
      <c r="Q212" s="4"/>
      <c r="R212" s="4"/>
      <c r="S212" s="4"/>
      <c r="T212" s="4"/>
      <c r="U212" s="32"/>
      <c r="V212" s="4"/>
      <c r="W212" s="4"/>
      <c r="X212" s="33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spans="1:41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32"/>
      <c r="L213" s="4"/>
      <c r="M213" s="4"/>
      <c r="N213" s="4"/>
      <c r="O213" s="4"/>
      <c r="P213" s="4"/>
      <c r="Q213" s="4"/>
      <c r="R213" s="4"/>
      <c r="S213" s="4"/>
      <c r="T213" s="4"/>
      <c r="U213" s="32"/>
      <c r="V213" s="4"/>
      <c r="W213" s="4"/>
      <c r="X213" s="33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spans="1:41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32"/>
      <c r="L214" s="4"/>
      <c r="M214" s="4"/>
      <c r="N214" s="4"/>
      <c r="O214" s="4"/>
      <c r="P214" s="4"/>
      <c r="Q214" s="4"/>
      <c r="R214" s="4"/>
      <c r="S214" s="4"/>
      <c r="T214" s="4"/>
      <c r="U214" s="32"/>
      <c r="V214" s="4"/>
      <c r="W214" s="4"/>
      <c r="X214" s="33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spans="1:41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32"/>
      <c r="L215" s="4"/>
      <c r="M215" s="4"/>
      <c r="N215" s="4"/>
      <c r="O215" s="4"/>
      <c r="P215" s="4"/>
      <c r="Q215" s="4"/>
      <c r="R215" s="4"/>
      <c r="S215" s="4"/>
      <c r="T215" s="4"/>
      <c r="U215" s="32"/>
      <c r="V215" s="4"/>
      <c r="W215" s="4"/>
      <c r="X215" s="33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spans="1:41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32"/>
      <c r="L216" s="4"/>
      <c r="M216" s="4"/>
      <c r="N216" s="4"/>
      <c r="O216" s="4"/>
      <c r="P216" s="4"/>
      <c r="Q216" s="4"/>
      <c r="R216" s="4"/>
      <c r="S216" s="4"/>
      <c r="T216" s="4"/>
      <c r="U216" s="32"/>
      <c r="V216" s="4"/>
      <c r="W216" s="4"/>
      <c r="X216" s="33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spans="1:41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32"/>
      <c r="L217" s="4"/>
      <c r="M217" s="4"/>
      <c r="N217" s="4"/>
      <c r="O217" s="4"/>
      <c r="P217" s="4"/>
      <c r="Q217" s="4"/>
      <c r="R217" s="4"/>
      <c r="S217" s="4"/>
      <c r="T217" s="4"/>
      <c r="U217" s="32"/>
      <c r="V217" s="4"/>
      <c r="W217" s="4"/>
      <c r="X217" s="33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spans="1:41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32"/>
      <c r="L218" s="4"/>
      <c r="M218" s="4"/>
      <c r="N218" s="4"/>
      <c r="O218" s="4"/>
      <c r="P218" s="4"/>
      <c r="Q218" s="4"/>
      <c r="R218" s="4"/>
      <c r="S218" s="4"/>
      <c r="T218" s="4"/>
      <c r="U218" s="32"/>
      <c r="V218" s="4"/>
      <c r="W218" s="4"/>
      <c r="X218" s="33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spans="1:41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32"/>
      <c r="L219" s="4"/>
      <c r="M219" s="4"/>
      <c r="N219" s="4"/>
      <c r="O219" s="4"/>
      <c r="P219" s="4"/>
      <c r="Q219" s="4"/>
      <c r="R219" s="4"/>
      <c r="S219" s="4"/>
      <c r="T219" s="4"/>
      <c r="U219" s="32"/>
      <c r="V219" s="4"/>
      <c r="W219" s="4"/>
      <c r="X219" s="33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spans="1:41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32"/>
      <c r="L220" s="4"/>
      <c r="M220" s="4"/>
      <c r="N220" s="4"/>
      <c r="O220" s="4"/>
      <c r="P220" s="4"/>
      <c r="Q220" s="4"/>
      <c r="R220" s="4"/>
      <c r="S220" s="4"/>
      <c r="T220" s="4"/>
      <c r="U220" s="32"/>
      <c r="V220" s="4"/>
      <c r="W220" s="4"/>
      <c r="X220" s="33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spans="1:4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32"/>
      <c r="L221" s="4"/>
      <c r="M221" s="4"/>
      <c r="N221" s="4"/>
      <c r="O221" s="4"/>
      <c r="P221" s="4"/>
      <c r="Q221" s="4"/>
      <c r="R221" s="4"/>
      <c r="S221" s="4"/>
      <c r="T221" s="4"/>
      <c r="U221" s="32"/>
      <c r="V221" s="4"/>
      <c r="W221" s="4"/>
      <c r="X221" s="33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spans="1:41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32"/>
      <c r="L222" s="4"/>
      <c r="M222" s="4"/>
      <c r="N222" s="4"/>
      <c r="O222" s="4"/>
      <c r="P222" s="4"/>
      <c r="Q222" s="4"/>
      <c r="R222" s="4"/>
      <c r="S222" s="4"/>
      <c r="T222" s="4"/>
      <c r="U222" s="32"/>
      <c r="V222" s="4"/>
      <c r="W222" s="4"/>
      <c r="X222" s="33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spans="1:41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32"/>
      <c r="L223" s="4"/>
      <c r="M223" s="4"/>
      <c r="N223" s="4"/>
      <c r="O223" s="4"/>
      <c r="P223" s="4"/>
      <c r="Q223" s="4"/>
      <c r="R223" s="4"/>
      <c r="S223" s="4"/>
      <c r="T223" s="4"/>
      <c r="U223" s="32"/>
      <c r="V223" s="4"/>
      <c r="W223" s="4"/>
      <c r="X223" s="33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spans="1:41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32"/>
      <c r="L224" s="4"/>
      <c r="M224" s="4"/>
      <c r="N224" s="4"/>
      <c r="O224" s="4"/>
      <c r="P224" s="4"/>
      <c r="Q224" s="4"/>
      <c r="R224" s="4"/>
      <c r="S224" s="4"/>
      <c r="T224" s="4"/>
      <c r="U224" s="32"/>
      <c r="V224" s="4"/>
      <c r="W224" s="4"/>
      <c r="X224" s="33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spans="1:41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32"/>
      <c r="L225" s="4"/>
      <c r="M225" s="4"/>
      <c r="N225" s="4"/>
      <c r="O225" s="4"/>
      <c r="P225" s="4"/>
      <c r="Q225" s="4"/>
      <c r="R225" s="4"/>
      <c r="S225" s="4"/>
      <c r="T225" s="4"/>
      <c r="U225" s="32"/>
      <c r="V225" s="4"/>
      <c r="W225" s="4"/>
      <c r="X225" s="33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spans="1:41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32"/>
      <c r="L226" s="4"/>
      <c r="M226" s="4"/>
      <c r="N226" s="4"/>
      <c r="O226" s="4"/>
      <c r="P226" s="4"/>
      <c r="Q226" s="4"/>
      <c r="R226" s="4"/>
      <c r="S226" s="4"/>
      <c r="T226" s="4"/>
      <c r="U226" s="32"/>
      <c r="V226" s="4"/>
      <c r="W226" s="4"/>
      <c r="X226" s="33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spans="1:41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32"/>
      <c r="L227" s="4"/>
      <c r="M227" s="4"/>
      <c r="N227" s="4"/>
      <c r="O227" s="4"/>
      <c r="P227" s="4"/>
      <c r="Q227" s="4"/>
      <c r="R227" s="4"/>
      <c r="S227" s="4"/>
      <c r="T227" s="4"/>
      <c r="U227" s="32"/>
      <c r="V227" s="4"/>
      <c r="W227" s="4"/>
      <c r="X227" s="33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spans="1:41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32"/>
      <c r="L228" s="4"/>
      <c r="M228" s="4"/>
      <c r="N228" s="4"/>
      <c r="O228" s="4"/>
      <c r="P228" s="4"/>
      <c r="Q228" s="4"/>
      <c r="R228" s="4"/>
      <c r="S228" s="4"/>
      <c r="T228" s="4"/>
      <c r="U228" s="32"/>
      <c r="V228" s="4"/>
      <c r="W228" s="4"/>
      <c r="X228" s="33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spans="1:41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32"/>
      <c r="L229" s="4"/>
      <c r="M229" s="4"/>
      <c r="N229" s="4"/>
      <c r="O229" s="4"/>
      <c r="P229" s="4"/>
      <c r="Q229" s="4"/>
      <c r="R229" s="4"/>
      <c r="S229" s="4"/>
      <c r="T229" s="4"/>
      <c r="U229" s="32"/>
      <c r="V229" s="4"/>
      <c r="W229" s="4"/>
      <c r="X229" s="33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spans="1:41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32"/>
      <c r="L230" s="4"/>
      <c r="M230" s="4"/>
      <c r="N230" s="4"/>
      <c r="O230" s="4"/>
      <c r="P230" s="4"/>
      <c r="Q230" s="4"/>
      <c r="R230" s="4"/>
      <c r="S230" s="4"/>
      <c r="T230" s="4"/>
      <c r="U230" s="32"/>
      <c r="V230" s="4"/>
      <c r="W230" s="4"/>
      <c r="X230" s="33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spans="1:4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32"/>
      <c r="L231" s="4"/>
      <c r="M231" s="4"/>
      <c r="N231" s="4"/>
      <c r="O231" s="4"/>
      <c r="P231" s="4"/>
      <c r="Q231" s="4"/>
      <c r="R231" s="4"/>
      <c r="S231" s="4"/>
      <c r="T231" s="4"/>
      <c r="U231" s="32"/>
      <c r="V231" s="4"/>
      <c r="W231" s="4"/>
      <c r="X231" s="33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spans="1:41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32"/>
      <c r="L232" s="4"/>
      <c r="M232" s="4"/>
      <c r="N232" s="4"/>
      <c r="O232" s="4"/>
      <c r="P232" s="4"/>
      <c r="Q232" s="4"/>
      <c r="R232" s="4"/>
      <c r="S232" s="4"/>
      <c r="T232" s="4"/>
      <c r="U232" s="32"/>
      <c r="V232" s="4"/>
      <c r="W232" s="4"/>
      <c r="X232" s="33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spans="1:41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32"/>
      <c r="L233" s="4"/>
      <c r="M233" s="4"/>
      <c r="N233" s="4"/>
      <c r="O233" s="4"/>
      <c r="P233" s="4"/>
      <c r="Q233" s="4"/>
      <c r="R233" s="4"/>
      <c r="S233" s="4"/>
      <c r="T233" s="4"/>
      <c r="U233" s="32"/>
      <c r="V233" s="4"/>
      <c r="W233" s="4"/>
      <c r="X233" s="33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spans="1:41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32"/>
      <c r="L234" s="4"/>
      <c r="M234" s="4"/>
      <c r="N234" s="4"/>
      <c r="O234" s="4"/>
      <c r="P234" s="4"/>
      <c r="Q234" s="4"/>
      <c r="R234" s="4"/>
      <c r="S234" s="4"/>
      <c r="T234" s="4"/>
      <c r="U234" s="32"/>
      <c r="V234" s="4"/>
      <c r="W234" s="4"/>
      <c r="X234" s="33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spans="1:41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32"/>
      <c r="L235" s="4"/>
      <c r="M235" s="4"/>
      <c r="N235" s="4"/>
      <c r="O235" s="4"/>
      <c r="P235" s="4"/>
      <c r="Q235" s="4"/>
      <c r="R235" s="4"/>
      <c r="S235" s="4"/>
      <c r="T235" s="4"/>
      <c r="U235" s="32"/>
      <c r="V235" s="4"/>
      <c r="W235" s="4"/>
      <c r="X235" s="33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spans="1:41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32"/>
      <c r="L236" s="4"/>
      <c r="M236" s="4"/>
      <c r="N236" s="4"/>
      <c r="O236" s="4"/>
      <c r="P236" s="4"/>
      <c r="Q236" s="4"/>
      <c r="R236" s="4"/>
      <c r="S236" s="4"/>
      <c r="T236" s="4"/>
      <c r="U236" s="32"/>
      <c r="V236" s="4"/>
      <c r="W236" s="4"/>
      <c r="X236" s="33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spans="1:41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32"/>
      <c r="L237" s="4"/>
      <c r="M237" s="4"/>
      <c r="N237" s="4"/>
      <c r="O237" s="4"/>
      <c r="P237" s="4"/>
      <c r="Q237" s="4"/>
      <c r="R237" s="4"/>
      <c r="S237" s="4"/>
      <c r="T237" s="4"/>
      <c r="U237" s="32"/>
      <c r="V237" s="4"/>
      <c r="W237" s="4"/>
      <c r="X237" s="33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spans="1:41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32"/>
      <c r="L238" s="4"/>
      <c r="M238" s="4"/>
      <c r="N238" s="4"/>
      <c r="O238" s="4"/>
      <c r="P238" s="4"/>
      <c r="Q238" s="4"/>
      <c r="R238" s="4"/>
      <c r="S238" s="4"/>
      <c r="T238" s="4"/>
      <c r="U238" s="32"/>
      <c r="V238" s="4"/>
      <c r="W238" s="4"/>
      <c r="X238" s="33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spans="1:41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32"/>
      <c r="L239" s="4"/>
      <c r="M239" s="4"/>
      <c r="N239" s="4"/>
      <c r="O239" s="4"/>
      <c r="P239" s="4"/>
      <c r="Q239" s="4"/>
      <c r="R239" s="4"/>
      <c r="S239" s="4"/>
      <c r="T239" s="4"/>
      <c r="U239" s="32"/>
      <c r="V239" s="4"/>
      <c r="W239" s="4"/>
      <c r="X239" s="33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spans="1:41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32"/>
      <c r="L240" s="4"/>
      <c r="M240" s="4"/>
      <c r="N240" s="4"/>
      <c r="O240" s="4"/>
      <c r="P240" s="4"/>
      <c r="Q240" s="4"/>
      <c r="R240" s="4"/>
      <c r="S240" s="4"/>
      <c r="T240" s="4"/>
      <c r="U240" s="32"/>
      <c r="V240" s="4"/>
      <c r="W240" s="4"/>
      <c r="X240" s="33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spans="1: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32"/>
      <c r="L241" s="4"/>
      <c r="M241" s="4"/>
      <c r="N241" s="4"/>
      <c r="O241" s="4"/>
      <c r="P241" s="4"/>
      <c r="Q241" s="4"/>
      <c r="R241" s="4"/>
      <c r="S241" s="4"/>
      <c r="T241" s="4"/>
      <c r="U241" s="32"/>
      <c r="V241" s="4"/>
      <c r="W241" s="4"/>
      <c r="X241" s="33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spans="1:41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32"/>
      <c r="L242" s="4"/>
      <c r="M242" s="4"/>
      <c r="N242" s="4"/>
      <c r="O242" s="4"/>
      <c r="P242" s="4"/>
      <c r="Q242" s="4"/>
      <c r="R242" s="4"/>
      <c r="S242" s="4"/>
      <c r="T242" s="4"/>
      <c r="U242" s="32"/>
      <c r="V242" s="4"/>
      <c r="W242" s="4"/>
      <c r="X242" s="33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spans="1:41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32"/>
      <c r="L243" s="4"/>
      <c r="M243" s="4"/>
      <c r="N243" s="4"/>
      <c r="O243" s="4"/>
      <c r="P243" s="4"/>
      <c r="Q243" s="4"/>
      <c r="R243" s="4"/>
      <c r="S243" s="4"/>
      <c r="T243" s="4"/>
      <c r="U243" s="32"/>
      <c r="V243" s="4"/>
      <c r="W243" s="4"/>
      <c r="X243" s="33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spans="1:41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32"/>
      <c r="L244" s="4"/>
      <c r="M244" s="4"/>
      <c r="N244" s="4"/>
      <c r="O244" s="4"/>
      <c r="P244" s="4"/>
      <c r="Q244" s="4"/>
      <c r="R244" s="4"/>
      <c r="S244" s="4"/>
      <c r="T244" s="4"/>
      <c r="U244" s="32"/>
      <c r="V244" s="4"/>
      <c r="W244" s="4"/>
      <c r="X244" s="33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spans="1:41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32"/>
      <c r="L245" s="4"/>
      <c r="M245" s="4"/>
      <c r="N245" s="4"/>
      <c r="O245" s="4"/>
      <c r="P245" s="4"/>
      <c r="Q245" s="4"/>
      <c r="R245" s="4"/>
      <c r="S245" s="4"/>
      <c r="T245" s="4"/>
      <c r="U245" s="32"/>
      <c r="V245" s="4"/>
      <c r="W245" s="4"/>
      <c r="X245" s="33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spans="1:41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32"/>
      <c r="L246" s="4"/>
      <c r="M246" s="4"/>
      <c r="N246" s="4"/>
      <c r="O246" s="4"/>
      <c r="P246" s="4"/>
      <c r="Q246" s="4"/>
      <c r="R246" s="4"/>
      <c r="S246" s="4"/>
      <c r="T246" s="4"/>
      <c r="U246" s="32"/>
      <c r="V246" s="4"/>
      <c r="W246" s="4"/>
      <c r="X246" s="33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spans="1:41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32"/>
      <c r="L247" s="4"/>
      <c r="M247" s="4"/>
      <c r="N247" s="4"/>
      <c r="O247" s="4"/>
      <c r="P247" s="4"/>
      <c r="Q247" s="4"/>
      <c r="R247" s="4"/>
      <c r="S247" s="4"/>
      <c r="T247" s="4"/>
      <c r="U247" s="32"/>
      <c r="V247" s="4"/>
      <c r="W247" s="4"/>
      <c r="X247" s="33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spans="1:41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32"/>
      <c r="L248" s="4"/>
      <c r="M248" s="4"/>
      <c r="N248" s="4"/>
      <c r="O248" s="4"/>
      <c r="P248" s="4"/>
      <c r="Q248" s="4"/>
      <c r="R248" s="4"/>
      <c r="S248" s="4"/>
      <c r="T248" s="4"/>
      <c r="U248" s="32"/>
      <c r="V248" s="4"/>
      <c r="W248" s="4"/>
      <c r="X248" s="33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spans="1:41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32"/>
      <c r="L249" s="4"/>
      <c r="M249" s="4"/>
      <c r="N249" s="4"/>
      <c r="O249" s="4"/>
      <c r="P249" s="4"/>
      <c r="Q249" s="4"/>
      <c r="R249" s="4"/>
      <c r="S249" s="4"/>
      <c r="T249" s="4"/>
      <c r="U249" s="32"/>
      <c r="V249" s="4"/>
      <c r="W249" s="4"/>
      <c r="X249" s="33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spans="1:41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32"/>
      <c r="L250" s="4"/>
      <c r="M250" s="4"/>
      <c r="N250" s="4"/>
      <c r="O250" s="4"/>
      <c r="P250" s="4"/>
      <c r="Q250" s="4"/>
      <c r="R250" s="4"/>
      <c r="S250" s="4"/>
      <c r="T250" s="4"/>
      <c r="U250" s="32"/>
      <c r="V250" s="4"/>
      <c r="W250" s="4"/>
      <c r="X250" s="33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spans="1:4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32"/>
      <c r="L251" s="4"/>
      <c r="M251" s="4"/>
      <c r="N251" s="4"/>
      <c r="O251" s="4"/>
      <c r="P251" s="4"/>
      <c r="Q251" s="4"/>
      <c r="R251" s="4"/>
      <c r="S251" s="4"/>
      <c r="T251" s="4"/>
      <c r="U251" s="32"/>
      <c r="V251" s="4"/>
      <c r="W251" s="4"/>
      <c r="X251" s="33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spans="1:41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32"/>
      <c r="L252" s="4"/>
      <c r="M252" s="4"/>
      <c r="N252" s="4"/>
      <c r="O252" s="4"/>
      <c r="P252" s="4"/>
      <c r="Q252" s="4"/>
      <c r="R252" s="4"/>
      <c r="S252" s="4"/>
      <c r="T252" s="4"/>
      <c r="U252" s="32"/>
      <c r="V252" s="4"/>
      <c r="W252" s="4"/>
      <c r="X252" s="33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spans="1:41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32"/>
      <c r="L253" s="4"/>
      <c r="M253" s="4"/>
      <c r="N253" s="4"/>
      <c r="O253" s="4"/>
      <c r="P253" s="4"/>
      <c r="Q253" s="4"/>
      <c r="R253" s="4"/>
      <c r="S253" s="4"/>
      <c r="T253" s="4"/>
      <c r="U253" s="32"/>
      <c r="V253" s="4"/>
      <c r="W253" s="4"/>
      <c r="X253" s="33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spans="1:41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32"/>
      <c r="L254" s="4"/>
      <c r="M254" s="4"/>
      <c r="N254" s="4"/>
      <c r="O254" s="4"/>
      <c r="P254" s="4"/>
      <c r="Q254" s="4"/>
      <c r="R254" s="4"/>
      <c r="S254" s="4"/>
      <c r="T254" s="4"/>
      <c r="U254" s="32"/>
      <c r="V254" s="4"/>
      <c r="W254" s="4"/>
      <c r="X254" s="33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spans="1:41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32"/>
      <c r="L255" s="4"/>
      <c r="M255" s="4"/>
      <c r="N255" s="4"/>
      <c r="O255" s="4"/>
      <c r="P255" s="4"/>
      <c r="Q255" s="4"/>
      <c r="R255" s="4"/>
      <c r="S255" s="4"/>
      <c r="T255" s="4"/>
      <c r="U255" s="32"/>
      <c r="V255" s="4"/>
      <c r="W255" s="4"/>
      <c r="X255" s="33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spans="1:41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32"/>
      <c r="L256" s="4"/>
      <c r="M256" s="4"/>
      <c r="N256" s="4"/>
      <c r="O256" s="4"/>
      <c r="P256" s="4"/>
      <c r="Q256" s="4"/>
      <c r="R256" s="4"/>
      <c r="S256" s="4"/>
      <c r="T256" s="4"/>
      <c r="U256" s="32"/>
      <c r="V256" s="4"/>
      <c r="W256" s="4"/>
      <c r="X256" s="33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spans="1:41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32"/>
      <c r="L257" s="4"/>
      <c r="M257" s="4"/>
      <c r="N257" s="4"/>
      <c r="O257" s="4"/>
      <c r="P257" s="4"/>
      <c r="Q257" s="4"/>
      <c r="R257" s="4"/>
      <c r="S257" s="4"/>
      <c r="T257" s="4"/>
      <c r="U257" s="32"/>
      <c r="V257" s="4"/>
      <c r="W257" s="4"/>
      <c r="X257" s="33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spans="1:41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32"/>
      <c r="L258" s="4"/>
      <c r="M258" s="4"/>
      <c r="N258" s="4"/>
      <c r="O258" s="4"/>
      <c r="P258" s="4"/>
      <c r="Q258" s="4"/>
      <c r="R258" s="4"/>
      <c r="S258" s="4"/>
      <c r="T258" s="4"/>
      <c r="U258" s="32"/>
      <c r="V258" s="4"/>
      <c r="W258" s="4"/>
      <c r="X258" s="33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spans="1:41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32"/>
      <c r="L259" s="4"/>
      <c r="M259" s="4"/>
      <c r="N259" s="4"/>
      <c r="O259" s="4"/>
      <c r="P259" s="4"/>
      <c r="Q259" s="4"/>
      <c r="R259" s="4"/>
      <c r="S259" s="4"/>
      <c r="T259" s="4"/>
      <c r="U259" s="32"/>
      <c r="V259" s="4"/>
      <c r="W259" s="4"/>
      <c r="X259" s="33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spans="1:41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32"/>
      <c r="L260" s="4"/>
      <c r="M260" s="4"/>
      <c r="N260" s="4"/>
      <c r="O260" s="4"/>
      <c r="P260" s="4"/>
      <c r="Q260" s="4"/>
      <c r="R260" s="4"/>
      <c r="S260" s="4"/>
      <c r="T260" s="4"/>
      <c r="U260" s="32"/>
      <c r="V260" s="4"/>
      <c r="W260" s="4"/>
      <c r="X260" s="33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spans="1:4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32"/>
      <c r="L261" s="4"/>
      <c r="M261" s="4"/>
      <c r="N261" s="4"/>
      <c r="O261" s="4"/>
      <c r="P261" s="4"/>
      <c r="Q261" s="4"/>
      <c r="R261" s="4"/>
      <c r="S261" s="4"/>
      <c r="T261" s="4"/>
      <c r="U261" s="32"/>
      <c r="V261" s="4"/>
      <c r="W261" s="4"/>
      <c r="X261" s="33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spans="1:41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32"/>
      <c r="L262" s="4"/>
      <c r="M262" s="4"/>
      <c r="N262" s="4"/>
      <c r="O262" s="4"/>
      <c r="P262" s="4"/>
      <c r="Q262" s="4"/>
      <c r="R262" s="4"/>
      <c r="S262" s="4"/>
      <c r="T262" s="4"/>
      <c r="U262" s="32"/>
      <c r="V262" s="4"/>
      <c r="W262" s="4"/>
      <c r="X262" s="33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spans="1:41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32"/>
      <c r="L263" s="4"/>
      <c r="M263" s="4"/>
      <c r="N263" s="4"/>
      <c r="O263" s="4"/>
      <c r="P263" s="4"/>
      <c r="Q263" s="4"/>
      <c r="R263" s="4"/>
      <c r="S263" s="4"/>
      <c r="T263" s="4"/>
      <c r="U263" s="32"/>
      <c r="V263" s="4"/>
      <c r="W263" s="4"/>
      <c r="X263" s="33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spans="1:41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32"/>
      <c r="L264" s="4"/>
      <c r="M264" s="4"/>
      <c r="N264" s="4"/>
      <c r="O264" s="4"/>
      <c r="P264" s="4"/>
      <c r="Q264" s="4"/>
      <c r="R264" s="4"/>
      <c r="S264" s="4"/>
      <c r="T264" s="4"/>
      <c r="U264" s="32"/>
      <c r="V264" s="4"/>
      <c r="W264" s="4"/>
      <c r="X264" s="33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spans="1:41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32"/>
      <c r="L265" s="4"/>
      <c r="M265" s="4"/>
      <c r="N265" s="4"/>
      <c r="O265" s="4"/>
      <c r="P265" s="4"/>
      <c r="Q265" s="4"/>
      <c r="R265" s="4"/>
      <c r="S265" s="4"/>
      <c r="T265" s="4"/>
      <c r="U265" s="32"/>
      <c r="V265" s="4"/>
      <c r="W265" s="4"/>
      <c r="X265" s="33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spans="1:41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32"/>
      <c r="L266" s="4"/>
      <c r="M266" s="4"/>
      <c r="N266" s="4"/>
      <c r="O266" s="4"/>
      <c r="P266" s="4"/>
      <c r="Q266" s="4"/>
      <c r="R266" s="4"/>
      <c r="S266" s="4"/>
      <c r="T266" s="4"/>
      <c r="U266" s="32"/>
      <c r="V266" s="4"/>
      <c r="W266" s="4"/>
      <c r="X266" s="33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spans="1:41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32"/>
      <c r="L267" s="4"/>
      <c r="M267" s="4"/>
      <c r="N267" s="4"/>
      <c r="O267" s="4"/>
      <c r="P267" s="4"/>
      <c r="Q267" s="4"/>
      <c r="R267" s="4"/>
      <c r="S267" s="4"/>
      <c r="T267" s="4"/>
      <c r="U267" s="32"/>
      <c r="V267" s="4"/>
      <c r="W267" s="4"/>
      <c r="X267" s="33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spans="1:41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32"/>
      <c r="L268" s="4"/>
      <c r="M268" s="4"/>
      <c r="N268" s="4"/>
      <c r="O268" s="4"/>
      <c r="P268" s="4"/>
      <c r="Q268" s="4"/>
      <c r="R268" s="4"/>
      <c r="S268" s="4"/>
      <c r="T268" s="4"/>
      <c r="U268" s="32"/>
      <c r="V268" s="4"/>
      <c r="W268" s="4"/>
      <c r="X268" s="33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spans="1:41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32"/>
      <c r="L269" s="4"/>
      <c r="M269" s="4"/>
      <c r="N269" s="4"/>
      <c r="O269" s="4"/>
      <c r="P269" s="4"/>
      <c r="Q269" s="4"/>
      <c r="R269" s="4"/>
      <c r="S269" s="4"/>
      <c r="T269" s="4"/>
      <c r="U269" s="32"/>
      <c r="V269" s="4"/>
      <c r="W269" s="4"/>
      <c r="X269" s="33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spans="1:41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32"/>
      <c r="L270" s="4"/>
      <c r="M270" s="4"/>
      <c r="N270" s="4"/>
      <c r="O270" s="4"/>
      <c r="P270" s="4"/>
      <c r="Q270" s="4"/>
      <c r="R270" s="4"/>
      <c r="S270" s="4"/>
      <c r="T270" s="4"/>
      <c r="U270" s="32"/>
      <c r="V270" s="4"/>
      <c r="W270" s="4"/>
      <c r="X270" s="33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spans="1:4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32"/>
      <c r="L271" s="4"/>
      <c r="M271" s="4"/>
      <c r="N271" s="4"/>
      <c r="O271" s="4"/>
      <c r="P271" s="4"/>
      <c r="Q271" s="4"/>
      <c r="R271" s="4"/>
      <c r="S271" s="4"/>
      <c r="T271" s="4"/>
      <c r="U271" s="32"/>
      <c r="V271" s="4"/>
      <c r="W271" s="4"/>
      <c r="X271" s="33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spans="1:41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32"/>
      <c r="L272" s="4"/>
      <c r="M272" s="4"/>
      <c r="N272" s="4"/>
      <c r="O272" s="4"/>
      <c r="P272" s="4"/>
      <c r="Q272" s="4"/>
      <c r="R272" s="4"/>
      <c r="S272" s="4"/>
      <c r="T272" s="4"/>
      <c r="U272" s="32"/>
      <c r="V272" s="4"/>
      <c r="W272" s="4"/>
      <c r="X272" s="33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spans="1:41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32"/>
      <c r="L273" s="4"/>
      <c r="M273" s="4"/>
      <c r="N273" s="4"/>
      <c r="O273" s="4"/>
      <c r="P273" s="4"/>
      <c r="Q273" s="4"/>
      <c r="R273" s="4"/>
      <c r="S273" s="4"/>
      <c r="T273" s="4"/>
      <c r="U273" s="32"/>
      <c r="V273" s="4"/>
      <c r="W273" s="4"/>
      <c r="X273" s="33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spans="1:41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32"/>
      <c r="L274" s="4"/>
      <c r="M274" s="4"/>
      <c r="N274" s="4"/>
      <c r="O274" s="4"/>
      <c r="P274" s="4"/>
      <c r="Q274" s="4"/>
      <c r="R274" s="4"/>
      <c r="S274" s="4"/>
      <c r="T274" s="4"/>
      <c r="U274" s="32"/>
      <c r="V274" s="4"/>
      <c r="W274" s="4"/>
      <c r="X274" s="33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spans="1:41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32"/>
      <c r="L275" s="4"/>
      <c r="M275" s="4"/>
      <c r="N275" s="4"/>
      <c r="O275" s="4"/>
      <c r="P275" s="4"/>
      <c r="Q275" s="4"/>
      <c r="R275" s="4"/>
      <c r="S275" s="4"/>
      <c r="T275" s="4"/>
      <c r="U275" s="32"/>
      <c r="V275" s="4"/>
      <c r="W275" s="4"/>
      <c r="X275" s="33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spans="1:41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32"/>
      <c r="L276" s="4"/>
      <c r="M276" s="4"/>
      <c r="N276" s="4"/>
      <c r="O276" s="4"/>
      <c r="P276" s="4"/>
      <c r="Q276" s="4"/>
      <c r="R276" s="4"/>
      <c r="S276" s="4"/>
      <c r="T276" s="4"/>
      <c r="U276" s="32"/>
      <c r="V276" s="4"/>
      <c r="W276" s="4"/>
      <c r="X276" s="33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spans="1:41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32"/>
      <c r="L277" s="4"/>
      <c r="M277" s="4"/>
      <c r="N277" s="4"/>
      <c r="O277" s="4"/>
      <c r="P277" s="4"/>
      <c r="Q277" s="4"/>
      <c r="R277" s="4"/>
      <c r="S277" s="4"/>
      <c r="T277" s="4"/>
      <c r="U277" s="32"/>
      <c r="V277" s="4"/>
      <c r="W277" s="4"/>
      <c r="X277" s="33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spans="1:41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32"/>
      <c r="L278" s="4"/>
      <c r="M278" s="4"/>
      <c r="N278" s="4"/>
      <c r="O278" s="4"/>
      <c r="P278" s="4"/>
      <c r="Q278" s="4"/>
      <c r="R278" s="4"/>
      <c r="S278" s="4"/>
      <c r="T278" s="4"/>
      <c r="U278" s="32"/>
      <c r="V278" s="4"/>
      <c r="W278" s="4"/>
      <c r="X278" s="33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spans="1:41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32"/>
      <c r="L279" s="4"/>
      <c r="M279" s="4"/>
      <c r="N279" s="4"/>
      <c r="O279" s="4"/>
      <c r="P279" s="4"/>
      <c r="Q279" s="4"/>
      <c r="R279" s="4"/>
      <c r="S279" s="4"/>
      <c r="T279" s="4"/>
      <c r="U279" s="32"/>
      <c r="V279" s="4"/>
      <c r="W279" s="4"/>
      <c r="X279" s="33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spans="1:41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32"/>
      <c r="L280" s="4"/>
      <c r="M280" s="4"/>
      <c r="N280" s="4"/>
      <c r="O280" s="4"/>
      <c r="P280" s="4"/>
      <c r="Q280" s="4"/>
      <c r="R280" s="4"/>
      <c r="S280" s="4"/>
      <c r="T280" s="4"/>
      <c r="U280" s="32"/>
      <c r="V280" s="4"/>
      <c r="W280" s="4"/>
      <c r="X280" s="33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spans="1:4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32"/>
      <c r="L281" s="4"/>
      <c r="M281" s="4"/>
      <c r="N281" s="4"/>
      <c r="O281" s="4"/>
      <c r="P281" s="4"/>
      <c r="Q281" s="4"/>
      <c r="R281" s="4"/>
      <c r="S281" s="4"/>
      <c r="T281" s="4"/>
      <c r="U281" s="32"/>
      <c r="V281" s="4"/>
      <c r="W281" s="4"/>
      <c r="X281" s="33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spans="1:41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32"/>
      <c r="L282" s="4"/>
      <c r="M282" s="4"/>
      <c r="N282" s="4"/>
      <c r="O282" s="4"/>
      <c r="P282" s="4"/>
      <c r="Q282" s="4"/>
      <c r="R282" s="4"/>
      <c r="S282" s="4"/>
      <c r="T282" s="4"/>
      <c r="U282" s="32"/>
      <c r="V282" s="4"/>
      <c r="W282" s="4"/>
      <c r="X282" s="33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spans="1:41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32"/>
      <c r="L283" s="4"/>
      <c r="M283" s="4"/>
      <c r="N283" s="4"/>
      <c r="O283" s="4"/>
      <c r="P283" s="4"/>
      <c r="Q283" s="4"/>
      <c r="R283" s="4"/>
      <c r="S283" s="4"/>
      <c r="T283" s="4"/>
      <c r="U283" s="32"/>
      <c r="V283" s="4"/>
      <c r="W283" s="4"/>
      <c r="X283" s="33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spans="1:41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32"/>
      <c r="L284" s="4"/>
      <c r="M284" s="4"/>
      <c r="N284" s="4"/>
      <c r="O284" s="4"/>
      <c r="P284" s="4"/>
      <c r="Q284" s="4"/>
      <c r="R284" s="4"/>
      <c r="S284" s="4"/>
      <c r="T284" s="4"/>
      <c r="U284" s="32"/>
      <c r="V284" s="4"/>
      <c r="W284" s="4"/>
      <c r="X284" s="33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spans="1:41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32"/>
      <c r="L285" s="4"/>
      <c r="M285" s="4"/>
      <c r="N285" s="4"/>
      <c r="O285" s="4"/>
      <c r="P285" s="4"/>
      <c r="Q285" s="4"/>
      <c r="R285" s="4"/>
      <c r="S285" s="4"/>
      <c r="T285" s="4"/>
      <c r="U285" s="32"/>
      <c r="V285" s="4"/>
      <c r="W285" s="4"/>
      <c r="X285" s="33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spans="1:41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32"/>
      <c r="L286" s="4"/>
      <c r="M286" s="4"/>
      <c r="N286" s="4"/>
      <c r="O286" s="4"/>
      <c r="P286" s="4"/>
      <c r="Q286" s="4"/>
      <c r="R286" s="4"/>
      <c r="S286" s="4"/>
      <c r="T286" s="4"/>
      <c r="U286" s="32"/>
      <c r="V286" s="4"/>
      <c r="W286" s="4"/>
      <c r="X286" s="33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spans="1:41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32"/>
      <c r="L287" s="4"/>
      <c r="M287" s="4"/>
      <c r="N287" s="4"/>
      <c r="O287" s="4"/>
      <c r="P287" s="4"/>
      <c r="Q287" s="4"/>
      <c r="R287" s="4"/>
      <c r="S287" s="4"/>
      <c r="T287" s="4"/>
      <c r="U287" s="32"/>
      <c r="V287" s="4"/>
      <c r="W287" s="4"/>
      <c r="X287" s="33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spans="1:41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32"/>
      <c r="L288" s="4"/>
      <c r="M288" s="4"/>
      <c r="N288" s="4"/>
      <c r="O288" s="4"/>
      <c r="P288" s="4"/>
      <c r="Q288" s="4"/>
      <c r="R288" s="4"/>
      <c r="S288" s="4"/>
      <c r="T288" s="4"/>
      <c r="U288" s="32"/>
      <c r="V288" s="4"/>
      <c r="W288" s="4"/>
      <c r="X288" s="33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spans="1:41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32"/>
      <c r="L289" s="4"/>
      <c r="M289" s="4"/>
      <c r="N289" s="4"/>
      <c r="O289" s="4"/>
      <c r="P289" s="4"/>
      <c r="Q289" s="4"/>
      <c r="R289" s="4"/>
      <c r="S289" s="4"/>
      <c r="T289" s="4"/>
      <c r="U289" s="32"/>
      <c r="V289" s="4"/>
      <c r="W289" s="4"/>
      <c r="X289" s="33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spans="1:41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32"/>
      <c r="L290" s="4"/>
      <c r="M290" s="4"/>
      <c r="N290" s="4"/>
      <c r="O290" s="4"/>
      <c r="P290" s="4"/>
      <c r="Q290" s="4"/>
      <c r="R290" s="4"/>
      <c r="S290" s="4"/>
      <c r="T290" s="4"/>
      <c r="U290" s="32"/>
      <c r="V290" s="4"/>
      <c r="W290" s="4"/>
      <c r="X290" s="33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spans="1:4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32"/>
      <c r="L291" s="4"/>
      <c r="M291" s="4"/>
      <c r="N291" s="4"/>
      <c r="O291" s="4"/>
      <c r="P291" s="4"/>
      <c r="Q291" s="4"/>
      <c r="R291" s="4"/>
      <c r="S291" s="4"/>
      <c r="T291" s="4"/>
      <c r="U291" s="32"/>
      <c r="V291" s="4"/>
      <c r="W291" s="4"/>
      <c r="X291" s="33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spans="1:41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32"/>
      <c r="L292" s="4"/>
      <c r="M292" s="4"/>
      <c r="N292" s="4"/>
      <c r="O292" s="4"/>
      <c r="P292" s="4"/>
      <c r="Q292" s="4"/>
      <c r="R292" s="4"/>
      <c r="S292" s="4"/>
      <c r="T292" s="4"/>
      <c r="U292" s="32"/>
      <c r="V292" s="4"/>
      <c r="W292" s="4"/>
      <c r="X292" s="33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spans="1:41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32"/>
      <c r="L293" s="4"/>
      <c r="M293" s="4"/>
      <c r="N293" s="4"/>
      <c r="O293" s="4"/>
      <c r="P293" s="4"/>
      <c r="Q293" s="4"/>
      <c r="R293" s="4"/>
      <c r="S293" s="4"/>
      <c r="T293" s="4"/>
      <c r="U293" s="32"/>
      <c r="V293" s="4"/>
      <c r="W293" s="4"/>
      <c r="X293" s="33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spans="1:41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32"/>
      <c r="L294" s="4"/>
      <c r="M294" s="4"/>
      <c r="N294" s="4"/>
      <c r="O294" s="4"/>
      <c r="P294" s="4"/>
      <c r="Q294" s="4"/>
      <c r="R294" s="4"/>
      <c r="S294" s="4"/>
      <c r="T294" s="4"/>
      <c r="U294" s="32"/>
      <c r="V294" s="4"/>
      <c r="W294" s="4"/>
      <c r="X294" s="33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spans="1:41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32"/>
      <c r="L295" s="4"/>
      <c r="M295" s="4"/>
      <c r="N295" s="4"/>
      <c r="O295" s="4"/>
      <c r="P295" s="4"/>
      <c r="Q295" s="4"/>
      <c r="R295" s="4"/>
      <c r="S295" s="4"/>
      <c r="T295" s="4"/>
      <c r="U295" s="32"/>
      <c r="V295" s="4"/>
      <c r="W295" s="4"/>
      <c r="X295" s="33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spans="1:41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32"/>
      <c r="L296" s="4"/>
      <c r="M296" s="4"/>
      <c r="N296" s="4"/>
      <c r="O296" s="4"/>
      <c r="P296" s="4"/>
      <c r="Q296" s="4"/>
      <c r="R296" s="4"/>
      <c r="S296" s="4"/>
      <c r="T296" s="4"/>
      <c r="U296" s="32"/>
      <c r="V296" s="4"/>
      <c r="W296" s="4"/>
      <c r="X296" s="33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spans="1:41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32"/>
      <c r="L297" s="4"/>
      <c r="M297" s="4"/>
      <c r="N297" s="4"/>
      <c r="O297" s="4"/>
      <c r="P297" s="4"/>
      <c r="Q297" s="4"/>
      <c r="R297" s="4"/>
      <c r="S297" s="4"/>
      <c r="T297" s="4"/>
      <c r="U297" s="32"/>
      <c r="V297" s="4"/>
      <c r="W297" s="4"/>
      <c r="X297" s="33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spans="1:41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32"/>
      <c r="L298" s="4"/>
      <c r="M298" s="4"/>
      <c r="N298" s="4"/>
      <c r="O298" s="4"/>
      <c r="P298" s="4"/>
      <c r="Q298" s="4"/>
      <c r="R298" s="4"/>
      <c r="S298" s="4"/>
      <c r="T298" s="4"/>
      <c r="U298" s="32"/>
      <c r="V298" s="4"/>
      <c r="W298" s="4"/>
      <c r="X298" s="33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spans="1:41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32"/>
      <c r="L299" s="4"/>
      <c r="M299" s="4"/>
      <c r="N299" s="4"/>
      <c r="O299" s="4"/>
      <c r="P299" s="4"/>
      <c r="Q299" s="4"/>
      <c r="R299" s="4"/>
      <c r="S299" s="4"/>
      <c r="T299" s="4"/>
      <c r="U299" s="32"/>
      <c r="V299" s="4"/>
      <c r="W299" s="4"/>
      <c r="X299" s="33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spans="1:41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32"/>
      <c r="L300" s="4"/>
      <c r="M300" s="4"/>
      <c r="N300" s="4"/>
      <c r="O300" s="4"/>
      <c r="P300" s="4"/>
      <c r="Q300" s="4"/>
      <c r="R300" s="4"/>
      <c r="S300" s="4"/>
      <c r="T300" s="4"/>
      <c r="U300" s="32"/>
      <c r="V300" s="4"/>
      <c r="W300" s="4"/>
      <c r="X300" s="33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spans="1:4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32"/>
      <c r="L301" s="4"/>
      <c r="M301" s="4"/>
      <c r="N301" s="4"/>
      <c r="O301" s="4"/>
      <c r="P301" s="4"/>
      <c r="Q301" s="4"/>
      <c r="R301" s="4"/>
      <c r="S301" s="4"/>
      <c r="T301" s="4"/>
      <c r="U301" s="32"/>
      <c r="V301" s="4"/>
      <c r="W301" s="4"/>
      <c r="X301" s="33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spans="1:41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32"/>
      <c r="L302" s="4"/>
      <c r="M302" s="4"/>
      <c r="N302" s="4"/>
      <c r="O302" s="4"/>
      <c r="P302" s="4"/>
      <c r="Q302" s="4"/>
      <c r="R302" s="4"/>
      <c r="S302" s="4"/>
      <c r="T302" s="4"/>
      <c r="U302" s="32"/>
      <c r="V302" s="4"/>
      <c r="W302" s="4"/>
      <c r="X302" s="33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spans="1:41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32"/>
      <c r="L303" s="4"/>
      <c r="M303" s="4"/>
      <c r="N303" s="4"/>
      <c r="O303" s="4"/>
      <c r="P303" s="4"/>
      <c r="Q303" s="4"/>
      <c r="R303" s="4"/>
      <c r="S303" s="4"/>
      <c r="T303" s="4"/>
      <c r="U303" s="32"/>
      <c r="V303" s="4"/>
      <c r="W303" s="4"/>
      <c r="X303" s="33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spans="1:41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32"/>
      <c r="L304" s="4"/>
      <c r="M304" s="4"/>
      <c r="N304" s="4"/>
      <c r="O304" s="4"/>
      <c r="P304" s="4"/>
      <c r="Q304" s="4"/>
      <c r="R304" s="4"/>
      <c r="S304" s="4"/>
      <c r="T304" s="4"/>
      <c r="U304" s="32"/>
      <c r="V304" s="4"/>
      <c r="W304" s="4"/>
      <c r="X304" s="33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spans="1:41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32"/>
      <c r="L305" s="4"/>
      <c r="M305" s="4"/>
      <c r="N305" s="4"/>
      <c r="O305" s="4"/>
      <c r="P305" s="4"/>
      <c r="Q305" s="4"/>
      <c r="R305" s="4"/>
      <c r="S305" s="4"/>
      <c r="T305" s="4"/>
      <c r="U305" s="32"/>
      <c r="V305" s="4"/>
      <c r="W305" s="4"/>
      <c r="X305" s="33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spans="1:41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32"/>
      <c r="L306" s="4"/>
      <c r="M306" s="4"/>
      <c r="N306" s="4"/>
      <c r="O306" s="4"/>
      <c r="P306" s="4"/>
      <c r="Q306" s="4"/>
      <c r="R306" s="4"/>
      <c r="S306" s="4"/>
      <c r="T306" s="4"/>
      <c r="U306" s="32"/>
      <c r="V306" s="4"/>
      <c r="W306" s="4"/>
      <c r="X306" s="33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spans="1:41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32"/>
      <c r="L307" s="4"/>
      <c r="M307" s="4"/>
      <c r="N307" s="4"/>
      <c r="O307" s="4"/>
      <c r="P307" s="4"/>
      <c r="Q307" s="4"/>
      <c r="R307" s="4"/>
      <c r="S307" s="4"/>
      <c r="T307" s="4"/>
      <c r="U307" s="32"/>
      <c r="V307" s="4"/>
      <c r="W307" s="4"/>
      <c r="X307" s="33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spans="1:41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32"/>
      <c r="L308" s="4"/>
      <c r="M308" s="4"/>
      <c r="N308" s="4"/>
      <c r="O308" s="4"/>
      <c r="P308" s="4"/>
      <c r="Q308" s="4"/>
      <c r="R308" s="4"/>
      <c r="S308" s="4"/>
      <c r="T308" s="4"/>
      <c r="U308" s="32"/>
      <c r="V308" s="4"/>
      <c r="W308" s="4"/>
      <c r="X308" s="33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spans="1:41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32"/>
      <c r="L309" s="4"/>
      <c r="M309" s="4"/>
      <c r="N309" s="4"/>
      <c r="O309" s="4"/>
      <c r="P309" s="4"/>
      <c r="Q309" s="4"/>
      <c r="R309" s="4"/>
      <c r="S309" s="4"/>
      <c r="T309" s="4"/>
      <c r="U309" s="32"/>
      <c r="V309" s="4"/>
      <c r="W309" s="4"/>
      <c r="X309" s="33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spans="1:41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32"/>
      <c r="L310" s="4"/>
      <c r="M310" s="4"/>
      <c r="N310" s="4"/>
      <c r="O310" s="4"/>
      <c r="P310" s="4"/>
      <c r="Q310" s="4"/>
      <c r="R310" s="4"/>
      <c r="S310" s="4"/>
      <c r="T310" s="4"/>
      <c r="U310" s="32"/>
      <c r="V310" s="4"/>
      <c r="W310" s="4"/>
      <c r="X310" s="33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spans="1:4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32"/>
      <c r="L311" s="4"/>
      <c r="M311" s="4"/>
      <c r="N311" s="4"/>
      <c r="O311" s="4"/>
      <c r="P311" s="4"/>
      <c r="Q311" s="4"/>
      <c r="R311" s="4"/>
      <c r="S311" s="4"/>
      <c r="T311" s="4"/>
      <c r="U311" s="32"/>
      <c r="V311" s="4"/>
      <c r="W311" s="4"/>
      <c r="X311" s="33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spans="1:41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32"/>
      <c r="L312" s="4"/>
      <c r="M312" s="4"/>
      <c r="N312" s="4"/>
      <c r="O312" s="4"/>
      <c r="P312" s="4"/>
      <c r="Q312" s="4"/>
      <c r="R312" s="4"/>
      <c r="S312" s="4"/>
      <c r="T312" s="4"/>
      <c r="U312" s="32"/>
      <c r="V312" s="4"/>
      <c r="W312" s="4"/>
      <c r="X312" s="33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spans="1:41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32"/>
      <c r="L313" s="4"/>
      <c r="M313" s="4"/>
      <c r="N313" s="4"/>
      <c r="O313" s="4"/>
      <c r="P313" s="4"/>
      <c r="Q313" s="4"/>
      <c r="R313" s="4"/>
      <c r="S313" s="4"/>
      <c r="T313" s="4"/>
      <c r="U313" s="32"/>
      <c r="V313" s="4"/>
      <c r="W313" s="4"/>
      <c r="X313" s="33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spans="1:41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32"/>
      <c r="L314" s="4"/>
      <c r="M314" s="4"/>
      <c r="N314" s="4"/>
      <c r="O314" s="4"/>
      <c r="P314" s="4"/>
      <c r="Q314" s="4"/>
      <c r="R314" s="4"/>
      <c r="S314" s="4"/>
      <c r="T314" s="4"/>
      <c r="U314" s="32"/>
      <c r="V314" s="4"/>
      <c r="W314" s="4"/>
      <c r="X314" s="33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spans="1:41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32"/>
      <c r="L315" s="4"/>
      <c r="M315" s="4"/>
      <c r="N315" s="4"/>
      <c r="O315" s="4"/>
      <c r="P315" s="4"/>
      <c r="Q315" s="4"/>
      <c r="R315" s="4"/>
      <c r="S315" s="4"/>
      <c r="T315" s="4"/>
      <c r="U315" s="32"/>
      <c r="V315" s="4"/>
      <c r="W315" s="4"/>
      <c r="X315" s="33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spans="1:41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32"/>
      <c r="L316" s="4"/>
      <c r="M316" s="4"/>
      <c r="N316" s="4"/>
      <c r="O316" s="4"/>
      <c r="P316" s="4"/>
      <c r="Q316" s="4"/>
      <c r="R316" s="4"/>
      <c r="S316" s="4"/>
      <c r="T316" s="4"/>
      <c r="U316" s="32"/>
      <c r="V316" s="4"/>
      <c r="W316" s="4"/>
      <c r="X316" s="33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spans="1:41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32"/>
      <c r="L317" s="4"/>
      <c r="M317" s="4"/>
      <c r="N317" s="4"/>
      <c r="O317" s="4"/>
      <c r="P317" s="4"/>
      <c r="Q317" s="4"/>
      <c r="R317" s="4"/>
      <c r="S317" s="4"/>
      <c r="T317" s="4"/>
      <c r="U317" s="32"/>
      <c r="V317" s="4"/>
      <c r="W317" s="4"/>
      <c r="X317" s="33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spans="1:41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32"/>
      <c r="L318" s="4"/>
      <c r="M318" s="4"/>
      <c r="N318" s="4"/>
      <c r="O318" s="4"/>
      <c r="P318" s="4"/>
      <c r="Q318" s="4"/>
      <c r="R318" s="4"/>
      <c r="S318" s="4"/>
      <c r="T318" s="4"/>
      <c r="U318" s="32"/>
      <c r="V318" s="4"/>
      <c r="W318" s="4"/>
      <c r="X318" s="33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spans="1:41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32"/>
      <c r="L319" s="4"/>
      <c r="M319" s="4"/>
      <c r="N319" s="4"/>
      <c r="O319" s="4"/>
      <c r="P319" s="4"/>
      <c r="Q319" s="4"/>
      <c r="R319" s="4"/>
      <c r="S319" s="4"/>
      <c r="T319" s="4"/>
      <c r="U319" s="32"/>
      <c r="V319" s="4"/>
      <c r="W319" s="4"/>
      <c r="X319" s="33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spans="1:41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32"/>
      <c r="L320" s="4"/>
      <c r="M320" s="4"/>
      <c r="N320" s="4"/>
      <c r="O320" s="4"/>
      <c r="P320" s="4"/>
      <c r="Q320" s="4"/>
      <c r="R320" s="4"/>
      <c r="S320" s="4"/>
      <c r="T320" s="4"/>
      <c r="U320" s="32"/>
      <c r="V320" s="4"/>
      <c r="W320" s="4"/>
      <c r="X320" s="33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spans="1:4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32"/>
      <c r="L321" s="4"/>
      <c r="M321" s="4"/>
      <c r="N321" s="4"/>
      <c r="O321" s="4"/>
      <c r="P321" s="4"/>
      <c r="Q321" s="4"/>
      <c r="R321" s="4"/>
      <c r="S321" s="4"/>
      <c r="T321" s="4"/>
      <c r="U321" s="32"/>
      <c r="V321" s="4"/>
      <c r="W321" s="4"/>
      <c r="X321" s="33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spans="1:41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32"/>
      <c r="L322" s="4"/>
      <c r="M322" s="4"/>
      <c r="N322" s="4"/>
      <c r="O322" s="4"/>
      <c r="P322" s="4"/>
      <c r="Q322" s="4"/>
      <c r="R322" s="4"/>
      <c r="S322" s="4"/>
      <c r="T322" s="4"/>
      <c r="U322" s="32"/>
      <c r="V322" s="4"/>
      <c r="W322" s="4"/>
      <c r="X322" s="33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spans="1:41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32"/>
      <c r="L323" s="4"/>
      <c r="M323" s="4"/>
      <c r="N323" s="4"/>
      <c r="O323" s="4"/>
      <c r="P323" s="4"/>
      <c r="Q323" s="4"/>
      <c r="R323" s="4"/>
      <c r="S323" s="4"/>
      <c r="T323" s="4"/>
      <c r="U323" s="32"/>
      <c r="V323" s="4"/>
      <c r="W323" s="4"/>
      <c r="X323" s="33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spans="1:41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32"/>
      <c r="L324" s="4"/>
      <c r="M324" s="4"/>
      <c r="N324" s="4"/>
      <c r="O324" s="4"/>
      <c r="P324" s="4"/>
      <c r="Q324" s="4"/>
      <c r="R324" s="4"/>
      <c r="S324" s="4"/>
      <c r="T324" s="4"/>
      <c r="U324" s="32"/>
      <c r="V324" s="4"/>
      <c r="W324" s="4"/>
      <c r="X324" s="33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spans="1:41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32"/>
      <c r="L325" s="4"/>
      <c r="M325" s="4"/>
      <c r="N325" s="4"/>
      <c r="O325" s="4"/>
      <c r="P325" s="4"/>
      <c r="Q325" s="4"/>
      <c r="R325" s="4"/>
      <c r="S325" s="4"/>
      <c r="T325" s="4"/>
      <c r="U325" s="32"/>
      <c r="V325" s="4"/>
      <c r="W325" s="4"/>
      <c r="X325" s="33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spans="1:41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32"/>
      <c r="L326" s="4"/>
      <c r="M326" s="4"/>
      <c r="N326" s="4"/>
      <c r="O326" s="4"/>
      <c r="P326" s="4"/>
      <c r="Q326" s="4"/>
      <c r="R326" s="4"/>
      <c r="S326" s="4"/>
      <c r="T326" s="4"/>
      <c r="U326" s="32"/>
      <c r="V326" s="4"/>
      <c r="W326" s="4"/>
      <c r="X326" s="33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spans="1:41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32"/>
      <c r="L327" s="4"/>
      <c r="M327" s="4"/>
      <c r="N327" s="4"/>
      <c r="O327" s="4"/>
      <c r="P327" s="4"/>
      <c r="Q327" s="4"/>
      <c r="R327" s="4"/>
      <c r="S327" s="4"/>
      <c r="T327" s="4"/>
      <c r="U327" s="32"/>
      <c r="V327" s="4"/>
      <c r="W327" s="4"/>
      <c r="X327" s="33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spans="1:41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32"/>
      <c r="L328" s="4"/>
      <c r="M328" s="4"/>
      <c r="N328" s="4"/>
      <c r="O328" s="4"/>
      <c r="P328" s="4"/>
      <c r="Q328" s="4"/>
      <c r="R328" s="4"/>
      <c r="S328" s="4"/>
      <c r="T328" s="4"/>
      <c r="U328" s="32"/>
      <c r="V328" s="4"/>
      <c r="W328" s="4"/>
      <c r="X328" s="33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spans="1:41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32"/>
      <c r="L329" s="4"/>
      <c r="M329" s="4"/>
      <c r="N329" s="4"/>
      <c r="O329" s="4"/>
      <c r="P329" s="4"/>
      <c r="Q329" s="4"/>
      <c r="R329" s="4"/>
      <c r="S329" s="4"/>
      <c r="T329" s="4"/>
      <c r="U329" s="32"/>
      <c r="V329" s="4"/>
      <c r="W329" s="4"/>
      <c r="X329" s="33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spans="1:41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32"/>
      <c r="L330" s="4"/>
      <c r="M330" s="4"/>
      <c r="N330" s="4"/>
      <c r="O330" s="4"/>
      <c r="P330" s="4"/>
      <c r="Q330" s="4"/>
      <c r="R330" s="4"/>
      <c r="S330" s="4"/>
      <c r="T330" s="4"/>
      <c r="U330" s="32"/>
      <c r="V330" s="4"/>
      <c r="W330" s="4"/>
      <c r="X330" s="33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spans="1:4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32"/>
      <c r="L331" s="4"/>
      <c r="M331" s="4"/>
      <c r="N331" s="4"/>
      <c r="O331" s="4"/>
      <c r="P331" s="4"/>
      <c r="Q331" s="4"/>
      <c r="R331" s="4"/>
      <c r="S331" s="4"/>
      <c r="T331" s="4"/>
      <c r="U331" s="32"/>
      <c r="V331" s="4"/>
      <c r="W331" s="4"/>
      <c r="X331" s="33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spans="1:41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32"/>
      <c r="L332" s="4"/>
      <c r="M332" s="4"/>
      <c r="N332" s="4"/>
      <c r="O332" s="4"/>
      <c r="P332" s="4"/>
      <c r="Q332" s="4"/>
      <c r="R332" s="4"/>
      <c r="S332" s="4"/>
      <c r="T332" s="4"/>
      <c r="U332" s="32"/>
      <c r="V332" s="4"/>
      <c r="W332" s="4"/>
      <c r="X332" s="33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spans="1:41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32"/>
      <c r="L333" s="4"/>
      <c r="M333" s="4"/>
      <c r="N333" s="4"/>
      <c r="O333" s="4"/>
      <c r="P333" s="4"/>
      <c r="Q333" s="4"/>
      <c r="R333" s="4"/>
      <c r="S333" s="4"/>
      <c r="T333" s="4"/>
      <c r="U333" s="32"/>
      <c r="V333" s="4"/>
      <c r="W333" s="4"/>
      <c r="X333" s="33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spans="1:41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32"/>
      <c r="L334" s="4"/>
      <c r="M334" s="4"/>
      <c r="N334" s="4"/>
      <c r="O334" s="4"/>
      <c r="P334" s="4"/>
      <c r="Q334" s="4"/>
      <c r="R334" s="4"/>
      <c r="S334" s="4"/>
      <c r="T334" s="4"/>
      <c r="U334" s="32"/>
      <c r="V334" s="4"/>
      <c r="W334" s="4"/>
      <c r="X334" s="33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spans="1:41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32"/>
      <c r="L335" s="4"/>
      <c r="M335" s="4"/>
      <c r="N335" s="4"/>
      <c r="O335" s="4"/>
      <c r="P335" s="4"/>
      <c r="Q335" s="4"/>
      <c r="R335" s="4"/>
      <c r="S335" s="4"/>
      <c r="T335" s="4"/>
      <c r="U335" s="32"/>
      <c r="V335" s="4"/>
      <c r="W335" s="4"/>
      <c r="X335" s="33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spans="1:41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32"/>
      <c r="L336" s="4"/>
      <c r="M336" s="4"/>
      <c r="N336" s="4"/>
      <c r="O336" s="4"/>
      <c r="P336" s="4"/>
      <c r="Q336" s="4"/>
      <c r="R336" s="4"/>
      <c r="S336" s="4"/>
      <c r="T336" s="4"/>
      <c r="U336" s="32"/>
      <c r="V336" s="4"/>
      <c r="W336" s="4"/>
      <c r="X336" s="33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spans="1:41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32"/>
      <c r="L337" s="4"/>
      <c r="M337" s="4"/>
      <c r="N337" s="4"/>
      <c r="O337" s="4"/>
      <c r="P337" s="4"/>
      <c r="Q337" s="4"/>
      <c r="R337" s="4"/>
      <c r="S337" s="4"/>
      <c r="T337" s="4"/>
      <c r="U337" s="32"/>
      <c r="V337" s="4"/>
      <c r="W337" s="4"/>
      <c r="X337" s="33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spans="1:41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32"/>
      <c r="L338" s="4"/>
      <c r="M338" s="4"/>
      <c r="N338" s="4"/>
      <c r="O338" s="4"/>
      <c r="P338" s="4"/>
      <c r="Q338" s="4"/>
      <c r="R338" s="4"/>
      <c r="S338" s="4"/>
      <c r="T338" s="4"/>
      <c r="U338" s="32"/>
      <c r="V338" s="4"/>
      <c r="W338" s="4"/>
      <c r="X338" s="33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spans="1:41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32"/>
      <c r="L339" s="4"/>
      <c r="M339" s="4"/>
      <c r="N339" s="4"/>
      <c r="O339" s="4"/>
      <c r="P339" s="4"/>
      <c r="Q339" s="4"/>
      <c r="R339" s="4"/>
      <c r="S339" s="4"/>
      <c r="T339" s="4"/>
      <c r="U339" s="32"/>
      <c r="V339" s="4"/>
      <c r="W339" s="4"/>
      <c r="X339" s="33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spans="1:41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32"/>
      <c r="L340" s="4"/>
      <c r="M340" s="4"/>
      <c r="N340" s="4"/>
      <c r="O340" s="4"/>
      <c r="P340" s="4"/>
      <c r="Q340" s="4"/>
      <c r="R340" s="4"/>
      <c r="S340" s="4"/>
      <c r="T340" s="4"/>
      <c r="U340" s="32"/>
      <c r="V340" s="4"/>
      <c r="W340" s="4"/>
      <c r="X340" s="33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spans="1: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32"/>
      <c r="L341" s="4"/>
      <c r="M341" s="4"/>
      <c r="N341" s="4"/>
      <c r="O341" s="4"/>
      <c r="P341" s="4"/>
      <c r="Q341" s="4"/>
      <c r="R341" s="4"/>
      <c r="S341" s="4"/>
      <c r="T341" s="4"/>
      <c r="U341" s="32"/>
      <c r="V341" s="4"/>
      <c r="W341" s="4"/>
      <c r="X341" s="33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spans="1:41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32"/>
      <c r="L342" s="4"/>
      <c r="M342" s="4"/>
      <c r="N342" s="4"/>
      <c r="O342" s="4"/>
      <c r="P342" s="4"/>
      <c r="Q342" s="4"/>
      <c r="R342" s="4"/>
      <c r="S342" s="4"/>
      <c r="T342" s="4"/>
      <c r="U342" s="32"/>
      <c r="V342" s="4"/>
      <c r="W342" s="4"/>
      <c r="X342" s="33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spans="1:41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32"/>
      <c r="L343" s="4"/>
      <c r="M343" s="4"/>
      <c r="N343" s="4"/>
      <c r="O343" s="4"/>
      <c r="P343" s="4"/>
      <c r="Q343" s="4"/>
      <c r="R343" s="4"/>
      <c r="S343" s="4"/>
      <c r="T343" s="4"/>
      <c r="U343" s="32"/>
      <c r="V343" s="4"/>
      <c r="W343" s="4"/>
      <c r="X343" s="33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spans="1:41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32"/>
      <c r="L344" s="4"/>
      <c r="M344" s="4"/>
      <c r="N344" s="4"/>
      <c r="O344" s="4"/>
      <c r="P344" s="4"/>
      <c r="Q344" s="4"/>
      <c r="R344" s="4"/>
      <c r="S344" s="4"/>
      <c r="T344" s="4"/>
      <c r="U344" s="32"/>
      <c r="V344" s="4"/>
      <c r="W344" s="4"/>
      <c r="X344" s="33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spans="1:41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32"/>
      <c r="L345" s="4"/>
      <c r="M345" s="4"/>
      <c r="N345" s="4"/>
      <c r="O345" s="4"/>
      <c r="P345" s="4"/>
      <c r="Q345" s="4"/>
      <c r="R345" s="4"/>
      <c r="S345" s="4"/>
      <c r="T345" s="4"/>
      <c r="U345" s="32"/>
      <c r="V345" s="4"/>
      <c r="W345" s="4"/>
      <c r="X345" s="33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spans="1:41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32"/>
      <c r="L346" s="4"/>
      <c r="M346" s="4"/>
      <c r="N346" s="4"/>
      <c r="O346" s="4"/>
      <c r="P346" s="4"/>
      <c r="Q346" s="4"/>
      <c r="R346" s="4"/>
      <c r="S346" s="4"/>
      <c r="T346" s="4"/>
      <c r="U346" s="32"/>
      <c r="V346" s="4"/>
      <c r="W346" s="4"/>
      <c r="X346" s="33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spans="1:41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32"/>
      <c r="L347" s="4"/>
      <c r="M347" s="4"/>
      <c r="N347" s="4"/>
      <c r="O347" s="4"/>
      <c r="P347" s="4"/>
      <c r="Q347" s="4"/>
      <c r="R347" s="4"/>
      <c r="S347" s="4"/>
      <c r="T347" s="4"/>
      <c r="U347" s="32"/>
      <c r="V347" s="4"/>
      <c r="W347" s="4"/>
      <c r="X347" s="33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spans="1:41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32"/>
      <c r="L348" s="4"/>
      <c r="M348" s="4"/>
      <c r="N348" s="4"/>
      <c r="O348" s="4"/>
      <c r="P348" s="4"/>
      <c r="Q348" s="4"/>
      <c r="R348" s="4"/>
      <c r="S348" s="4"/>
      <c r="T348" s="4"/>
      <c r="U348" s="32"/>
      <c r="V348" s="4"/>
      <c r="W348" s="4"/>
      <c r="X348" s="33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spans="1:41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32"/>
      <c r="L349" s="4"/>
      <c r="M349" s="4"/>
      <c r="N349" s="4"/>
      <c r="O349" s="4"/>
      <c r="P349" s="4"/>
      <c r="Q349" s="4"/>
      <c r="R349" s="4"/>
      <c r="S349" s="4"/>
      <c r="T349" s="4"/>
      <c r="U349" s="32"/>
      <c r="V349" s="4"/>
      <c r="W349" s="4"/>
      <c r="X349" s="33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spans="1:41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32"/>
      <c r="L350" s="4"/>
      <c r="M350" s="4"/>
      <c r="N350" s="4"/>
      <c r="O350" s="4"/>
      <c r="P350" s="4"/>
      <c r="Q350" s="4"/>
      <c r="R350" s="4"/>
      <c r="S350" s="4"/>
      <c r="T350" s="4"/>
      <c r="U350" s="32"/>
      <c r="V350" s="4"/>
      <c r="W350" s="4"/>
      <c r="X350" s="33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spans="1:4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32"/>
      <c r="L351" s="4"/>
      <c r="M351" s="4"/>
      <c r="N351" s="4"/>
      <c r="O351" s="4"/>
      <c r="P351" s="4"/>
      <c r="Q351" s="4"/>
      <c r="R351" s="4"/>
      <c r="S351" s="4"/>
      <c r="T351" s="4"/>
      <c r="U351" s="32"/>
      <c r="V351" s="4"/>
      <c r="W351" s="4"/>
      <c r="X351" s="33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spans="1:41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32"/>
      <c r="L352" s="4"/>
      <c r="M352" s="4"/>
      <c r="N352" s="4"/>
      <c r="O352" s="4"/>
      <c r="P352" s="4"/>
      <c r="Q352" s="4"/>
      <c r="R352" s="4"/>
      <c r="S352" s="4"/>
      <c r="T352" s="4"/>
      <c r="U352" s="32"/>
      <c r="V352" s="4"/>
      <c r="W352" s="4"/>
      <c r="X352" s="33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spans="1:41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32"/>
      <c r="L353" s="4"/>
      <c r="M353" s="4"/>
      <c r="N353" s="4"/>
      <c r="O353" s="4"/>
      <c r="P353" s="4"/>
      <c r="Q353" s="4"/>
      <c r="R353" s="4"/>
      <c r="S353" s="4"/>
      <c r="T353" s="4"/>
      <c r="U353" s="32"/>
      <c r="V353" s="4"/>
      <c r="W353" s="4"/>
      <c r="X353" s="33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spans="1:41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32"/>
      <c r="L354" s="4"/>
      <c r="M354" s="4"/>
      <c r="N354" s="4"/>
      <c r="O354" s="4"/>
      <c r="P354" s="4"/>
      <c r="Q354" s="4"/>
      <c r="R354" s="4"/>
      <c r="S354" s="4"/>
      <c r="T354" s="4"/>
      <c r="U354" s="32"/>
      <c r="V354" s="4"/>
      <c r="W354" s="4"/>
      <c r="X354" s="33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spans="1:41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32"/>
      <c r="L355" s="4"/>
      <c r="M355" s="4"/>
      <c r="N355" s="4"/>
      <c r="O355" s="4"/>
      <c r="P355" s="4"/>
      <c r="Q355" s="4"/>
      <c r="R355" s="4"/>
      <c r="S355" s="4"/>
      <c r="T355" s="4"/>
      <c r="U355" s="32"/>
      <c r="V355" s="4"/>
      <c r="W355" s="4"/>
      <c r="X355" s="33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spans="1:41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32"/>
      <c r="L356" s="4"/>
      <c r="M356" s="4"/>
      <c r="N356" s="4"/>
      <c r="O356" s="4"/>
      <c r="P356" s="4"/>
      <c r="Q356" s="4"/>
      <c r="R356" s="4"/>
      <c r="S356" s="4"/>
      <c r="T356" s="4"/>
      <c r="U356" s="32"/>
      <c r="V356" s="4"/>
      <c r="W356" s="4"/>
      <c r="X356" s="33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spans="1:41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32"/>
      <c r="L357" s="4"/>
      <c r="M357" s="4"/>
      <c r="N357" s="4"/>
      <c r="O357" s="4"/>
      <c r="P357" s="4"/>
      <c r="Q357" s="4"/>
      <c r="R357" s="4"/>
      <c r="S357" s="4"/>
      <c r="T357" s="4"/>
      <c r="U357" s="32"/>
      <c r="V357" s="4"/>
      <c r="W357" s="4"/>
      <c r="X357" s="33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spans="1:41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32"/>
      <c r="L358" s="4"/>
      <c r="M358" s="4"/>
      <c r="N358" s="4"/>
      <c r="O358" s="4"/>
      <c r="P358" s="4"/>
      <c r="Q358" s="4"/>
      <c r="R358" s="4"/>
      <c r="S358" s="4"/>
      <c r="T358" s="4"/>
      <c r="U358" s="32"/>
      <c r="V358" s="4"/>
      <c r="W358" s="4"/>
      <c r="X358" s="33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spans="1:41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32"/>
      <c r="L359" s="4"/>
      <c r="M359" s="4"/>
      <c r="N359" s="4"/>
      <c r="O359" s="4"/>
      <c r="P359" s="4"/>
      <c r="Q359" s="4"/>
      <c r="R359" s="4"/>
      <c r="S359" s="4"/>
      <c r="T359" s="4"/>
      <c r="U359" s="32"/>
      <c r="V359" s="4"/>
      <c r="W359" s="4"/>
      <c r="X359" s="33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spans="1:41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32"/>
      <c r="L360" s="4"/>
      <c r="M360" s="4"/>
      <c r="N360" s="4"/>
      <c r="O360" s="4"/>
      <c r="P360" s="4"/>
      <c r="Q360" s="4"/>
      <c r="R360" s="4"/>
      <c r="S360" s="4"/>
      <c r="T360" s="4"/>
      <c r="U360" s="32"/>
      <c r="V360" s="4"/>
      <c r="W360" s="4"/>
      <c r="X360" s="33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spans="1:4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32"/>
      <c r="L361" s="4"/>
      <c r="M361" s="4"/>
      <c r="N361" s="4"/>
      <c r="O361" s="4"/>
      <c r="P361" s="4"/>
      <c r="Q361" s="4"/>
      <c r="R361" s="4"/>
      <c r="S361" s="4"/>
      <c r="T361" s="4"/>
      <c r="U361" s="32"/>
      <c r="V361" s="4"/>
      <c r="W361" s="4"/>
      <c r="X361" s="33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spans="1:41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32"/>
      <c r="L362" s="4"/>
      <c r="M362" s="4"/>
      <c r="N362" s="4"/>
      <c r="O362" s="4"/>
      <c r="P362" s="4"/>
      <c r="Q362" s="4"/>
      <c r="R362" s="4"/>
      <c r="S362" s="4"/>
      <c r="T362" s="4"/>
      <c r="U362" s="32"/>
      <c r="V362" s="4"/>
      <c r="W362" s="4"/>
      <c r="X362" s="33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spans="1:41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32"/>
      <c r="L363" s="4"/>
      <c r="M363" s="4"/>
      <c r="N363" s="4"/>
      <c r="O363" s="4"/>
      <c r="P363" s="4"/>
      <c r="Q363" s="4"/>
      <c r="R363" s="4"/>
      <c r="S363" s="4"/>
      <c r="T363" s="4"/>
      <c r="U363" s="32"/>
      <c r="V363" s="4"/>
      <c r="W363" s="4"/>
      <c r="X363" s="33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spans="1:41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32"/>
      <c r="L364" s="4"/>
      <c r="M364" s="4"/>
      <c r="N364" s="4"/>
      <c r="O364" s="4"/>
      <c r="P364" s="4"/>
      <c r="Q364" s="4"/>
      <c r="R364" s="4"/>
      <c r="S364" s="4"/>
      <c r="T364" s="4"/>
      <c r="U364" s="32"/>
      <c r="V364" s="4"/>
      <c r="W364" s="4"/>
      <c r="X364" s="33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spans="1:41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32"/>
      <c r="L365" s="4"/>
      <c r="M365" s="4"/>
      <c r="N365" s="4"/>
      <c r="O365" s="4"/>
      <c r="P365" s="4"/>
      <c r="Q365" s="4"/>
      <c r="R365" s="4"/>
      <c r="S365" s="4"/>
      <c r="T365" s="4"/>
      <c r="U365" s="32"/>
      <c r="V365" s="4"/>
      <c r="W365" s="4"/>
      <c r="X365" s="33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spans="1:41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32"/>
      <c r="L366" s="4"/>
      <c r="M366" s="4"/>
      <c r="N366" s="4"/>
      <c r="O366" s="4"/>
      <c r="P366" s="4"/>
      <c r="Q366" s="4"/>
      <c r="R366" s="4"/>
      <c r="S366" s="4"/>
      <c r="T366" s="4"/>
      <c r="U366" s="32"/>
      <c r="V366" s="4"/>
      <c r="W366" s="4"/>
      <c r="X366" s="33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spans="1:41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32"/>
      <c r="L367" s="4"/>
      <c r="M367" s="4"/>
      <c r="N367" s="4"/>
      <c r="O367" s="4"/>
      <c r="P367" s="4"/>
      <c r="Q367" s="4"/>
      <c r="R367" s="4"/>
      <c r="S367" s="4"/>
      <c r="T367" s="4"/>
      <c r="U367" s="32"/>
      <c r="V367" s="4"/>
      <c r="W367" s="4"/>
      <c r="X367" s="33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spans="1:41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32"/>
      <c r="L368" s="4"/>
      <c r="M368" s="4"/>
      <c r="N368" s="4"/>
      <c r="O368" s="4"/>
      <c r="P368" s="4"/>
      <c r="Q368" s="4"/>
      <c r="R368" s="4"/>
      <c r="S368" s="4"/>
      <c r="T368" s="4"/>
      <c r="U368" s="32"/>
      <c r="V368" s="4"/>
      <c r="W368" s="4"/>
      <c r="X368" s="33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spans="1:41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32"/>
      <c r="L369" s="4"/>
      <c r="M369" s="4"/>
      <c r="N369" s="4"/>
      <c r="O369" s="4"/>
      <c r="P369" s="4"/>
      <c r="Q369" s="4"/>
      <c r="R369" s="4"/>
      <c r="S369" s="4"/>
      <c r="T369" s="4"/>
      <c r="U369" s="32"/>
      <c r="V369" s="4"/>
      <c r="W369" s="4"/>
      <c r="X369" s="33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spans="1:41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32"/>
      <c r="L370" s="4"/>
      <c r="M370" s="4"/>
      <c r="N370" s="4"/>
      <c r="O370" s="4"/>
      <c r="P370" s="4"/>
      <c r="Q370" s="4"/>
      <c r="R370" s="4"/>
      <c r="S370" s="4"/>
      <c r="T370" s="4"/>
      <c r="U370" s="32"/>
      <c r="V370" s="4"/>
      <c r="W370" s="4"/>
      <c r="X370" s="33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spans="1:4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32"/>
      <c r="L371" s="4"/>
      <c r="M371" s="4"/>
      <c r="N371" s="4"/>
      <c r="O371" s="4"/>
      <c r="P371" s="4"/>
      <c r="Q371" s="4"/>
      <c r="R371" s="4"/>
      <c r="S371" s="4"/>
      <c r="T371" s="4"/>
      <c r="U371" s="32"/>
      <c r="V371" s="4"/>
      <c r="W371" s="4"/>
      <c r="X371" s="33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spans="1:41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32"/>
      <c r="L372" s="4"/>
      <c r="M372" s="4"/>
      <c r="N372" s="4"/>
      <c r="O372" s="4"/>
      <c r="P372" s="4"/>
      <c r="Q372" s="4"/>
      <c r="R372" s="4"/>
      <c r="S372" s="4"/>
      <c r="T372" s="4"/>
      <c r="U372" s="32"/>
      <c r="V372" s="4"/>
      <c r="W372" s="4"/>
      <c r="X372" s="33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spans="1:41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32"/>
      <c r="L373" s="4"/>
      <c r="M373" s="4"/>
      <c r="N373" s="4"/>
      <c r="O373" s="4"/>
      <c r="P373" s="4"/>
      <c r="Q373" s="4"/>
      <c r="R373" s="4"/>
      <c r="S373" s="4"/>
      <c r="T373" s="4"/>
      <c r="U373" s="32"/>
      <c r="V373" s="4"/>
      <c r="W373" s="4"/>
      <c r="X373" s="33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spans="1:41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32"/>
      <c r="L374" s="4"/>
      <c r="M374" s="4"/>
      <c r="N374" s="4"/>
      <c r="O374" s="4"/>
      <c r="P374" s="4"/>
      <c r="Q374" s="4"/>
      <c r="R374" s="4"/>
      <c r="S374" s="4"/>
      <c r="T374" s="4"/>
      <c r="U374" s="32"/>
      <c r="V374" s="4"/>
      <c r="W374" s="4"/>
      <c r="X374" s="33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spans="1:41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32"/>
      <c r="L375" s="4"/>
      <c r="M375" s="4"/>
      <c r="N375" s="4"/>
      <c r="O375" s="4"/>
      <c r="P375" s="4"/>
      <c r="Q375" s="4"/>
      <c r="R375" s="4"/>
      <c r="S375" s="4"/>
      <c r="T375" s="4"/>
      <c r="U375" s="32"/>
      <c r="V375" s="4"/>
      <c r="W375" s="4"/>
      <c r="X375" s="33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spans="1:41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32"/>
      <c r="L376" s="4"/>
      <c r="M376" s="4"/>
      <c r="N376" s="4"/>
      <c r="O376" s="4"/>
      <c r="P376" s="4"/>
      <c r="Q376" s="4"/>
      <c r="R376" s="4"/>
      <c r="S376" s="4"/>
      <c r="T376" s="4"/>
      <c r="U376" s="32"/>
      <c r="V376" s="4"/>
      <c r="W376" s="4"/>
      <c r="X376" s="33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spans="1:41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32"/>
      <c r="L377" s="4"/>
      <c r="M377" s="4"/>
      <c r="N377" s="4"/>
      <c r="O377" s="4"/>
      <c r="P377" s="4"/>
      <c r="Q377" s="4"/>
      <c r="R377" s="4"/>
      <c r="S377" s="4"/>
      <c r="T377" s="4"/>
      <c r="U377" s="32"/>
      <c r="V377" s="4"/>
      <c r="W377" s="4"/>
      <c r="X377" s="33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spans="1:41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32"/>
      <c r="L378" s="4"/>
      <c r="M378" s="4"/>
      <c r="N378" s="4"/>
      <c r="O378" s="4"/>
      <c r="P378" s="4"/>
      <c r="Q378" s="4"/>
      <c r="R378" s="4"/>
      <c r="S378" s="4"/>
      <c r="T378" s="4"/>
      <c r="U378" s="32"/>
      <c r="V378" s="4"/>
      <c r="W378" s="4"/>
      <c r="X378" s="33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spans="1:41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32"/>
      <c r="L379" s="4"/>
      <c r="M379" s="4"/>
      <c r="N379" s="4"/>
      <c r="O379" s="4"/>
      <c r="P379" s="4"/>
      <c r="Q379" s="4"/>
      <c r="R379" s="4"/>
      <c r="S379" s="4"/>
      <c r="T379" s="4"/>
      <c r="U379" s="32"/>
      <c r="V379" s="4"/>
      <c r="W379" s="4"/>
      <c r="X379" s="33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spans="1:41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32"/>
      <c r="L380" s="4"/>
      <c r="M380" s="4"/>
      <c r="N380" s="4"/>
      <c r="O380" s="4"/>
      <c r="P380" s="4"/>
      <c r="Q380" s="4"/>
      <c r="R380" s="4"/>
      <c r="S380" s="4"/>
      <c r="T380" s="4"/>
      <c r="U380" s="32"/>
      <c r="V380" s="4"/>
      <c r="W380" s="4"/>
      <c r="X380" s="33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spans="1:4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32"/>
      <c r="L381" s="4"/>
      <c r="M381" s="4"/>
      <c r="N381" s="4"/>
      <c r="O381" s="4"/>
      <c r="P381" s="4"/>
      <c r="Q381" s="4"/>
      <c r="R381" s="4"/>
      <c r="S381" s="4"/>
      <c r="T381" s="4"/>
      <c r="U381" s="32"/>
      <c r="V381" s="4"/>
      <c r="W381" s="4"/>
      <c r="X381" s="33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spans="1:41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32"/>
      <c r="L382" s="4"/>
      <c r="M382" s="4"/>
      <c r="N382" s="4"/>
      <c r="O382" s="4"/>
      <c r="P382" s="4"/>
      <c r="Q382" s="4"/>
      <c r="R382" s="4"/>
      <c r="S382" s="4"/>
      <c r="T382" s="4"/>
      <c r="U382" s="32"/>
      <c r="V382" s="4"/>
      <c r="W382" s="4"/>
      <c r="X382" s="33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spans="1:41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32"/>
      <c r="L383" s="4"/>
      <c r="M383" s="4"/>
      <c r="N383" s="4"/>
      <c r="O383" s="4"/>
      <c r="P383" s="4"/>
      <c r="Q383" s="4"/>
      <c r="R383" s="4"/>
      <c r="S383" s="4"/>
      <c r="T383" s="4"/>
      <c r="U383" s="32"/>
      <c r="V383" s="4"/>
      <c r="W383" s="4"/>
      <c r="X383" s="33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spans="1:41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32"/>
      <c r="L384" s="4"/>
      <c r="M384" s="4"/>
      <c r="N384" s="4"/>
      <c r="O384" s="4"/>
      <c r="P384" s="4"/>
      <c r="Q384" s="4"/>
      <c r="R384" s="4"/>
      <c r="S384" s="4"/>
      <c r="T384" s="4"/>
      <c r="U384" s="32"/>
      <c r="V384" s="4"/>
      <c r="W384" s="4"/>
      <c r="X384" s="33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spans="1:41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32"/>
      <c r="L385" s="4"/>
      <c r="M385" s="4"/>
      <c r="N385" s="4"/>
      <c r="O385" s="4"/>
      <c r="P385" s="4"/>
      <c r="Q385" s="4"/>
      <c r="R385" s="4"/>
      <c r="S385" s="4"/>
      <c r="T385" s="4"/>
      <c r="U385" s="32"/>
      <c r="V385" s="4"/>
      <c r="W385" s="4"/>
      <c r="X385" s="33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spans="1:41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32"/>
      <c r="L386" s="4"/>
      <c r="M386" s="4"/>
      <c r="N386" s="4"/>
      <c r="O386" s="4"/>
      <c r="P386" s="4"/>
      <c r="Q386" s="4"/>
      <c r="R386" s="4"/>
      <c r="S386" s="4"/>
      <c r="T386" s="4"/>
      <c r="U386" s="32"/>
      <c r="V386" s="4"/>
      <c r="W386" s="4"/>
      <c r="X386" s="33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spans="1:41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32"/>
      <c r="L387" s="4"/>
      <c r="M387" s="4"/>
      <c r="N387" s="4"/>
      <c r="O387" s="4"/>
      <c r="P387" s="4"/>
      <c r="Q387" s="4"/>
      <c r="R387" s="4"/>
      <c r="S387" s="4"/>
      <c r="T387" s="4"/>
      <c r="U387" s="32"/>
      <c r="V387" s="4"/>
      <c r="W387" s="4"/>
      <c r="X387" s="33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spans="1:41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32"/>
      <c r="L388" s="4"/>
      <c r="M388" s="4"/>
      <c r="N388" s="4"/>
      <c r="O388" s="4"/>
      <c r="P388" s="4"/>
      <c r="Q388" s="4"/>
      <c r="R388" s="4"/>
      <c r="S388" s="4"/>
      <c r="T388" s="4"/>
      <c r="U388" s="32"/>
      <c r="V388" s="4"/>
      <c r="W388" s="4"/>
      <c r="X388" s="33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spans="1:41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32"/>
      <c r="L389" s="4"/>
      <c r="M389" s="4"/>
      <c r="N389" s="4"/>
      <c r="O389" s="4"/>
      <c r="P389" s="4"/>
      <c r="Q389" s="4"/>
      <c r="R389" s="4"/>
      <c r="S389" s="4"/>
      <c r="T389" s="4"/>
      <c r="U389" s="32"/>
      <c r="V389" s="4"/>
      <c r="W389" s="4"/>
      <c r="X389" s="33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spans="1:41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32"/>
      <c r="L390" s="4"/>
      <c r="M390" s="4"/>
      <c r="N390" s="4"/>
      <c r="O390" s="4"/>
      <c r="P390" s="4"/>
      <c r="Q390" s="4"/>
      <c r="R390" s="4"/>
      <c r="S390" s="4"/>
      <c r="T390" s="4"/>
      <c r="U390" s="32"/>
      <c r="V390" s="4"/>
      <c r="W390" s="4"/>
      <c r="X390" s="33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spans="1:4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32"/>
      <c r="L391" s="4"/>
      <c r="M391" s="4"/>
      <c r="N391" s="4"/>
      <c r="O391" s="4"/>
      <c r="P391" s="4"/>
      <c r="Q391" s="4"/>
      <c r="R391" s="4"/>
      <c r="S391" s="4"/>
      <c r="T391" s="4"/>
      <c r="U391" s="32"/>
      <c r="V391" s="4"/>
      <c r="W391" s="4"/>
      <c r="X391" s="33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spans="1:41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32"/>
      <c r="L392" s="4"/>
      <c r="M392" s="4"/>
      <c r="N392" s="4"/>
      <c r="O392" s="4"/>
      <c r="P392" s="4"/>
      <c r="Q392" s="4"/>
      <c r="R392" s="4"/>
      <c r="S392" s="4"/>
      <c r="T392" s="4"/>
      <c r="U392" s="32"/>
      <c r="V392" s="4"/>
      <c r="W392" s="4"/>
      <c r="X392" s="33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spans="1:41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32"/>
      <c r="L393" s="4"/>
      <c r="M393" s="4"/>
      <c r="N393" s="4"/>
      <c r="O393" s="4"/>
      <c r="P393" s="4"/>
      <c r="Q393" s="4"/>
      <c r="R393" s="4"/>
      <c r="S393" s="4"/>
      <c r="T393" s="4"/>
      <c r="U393" s="32"/>
      <c r="V393" s="4"/>
      <c r="W393" s="4"/>
      <c r="X393" s="33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spans="1:41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32"/>
      <c r="L394" s="4"/>
      <c r="M394" s="4"/>
      <c r="N394" s="4"/>
      <c r="O394" s="4"/>
      <c r="P394" s="4"/>
      <c r="Q394" s="4"/>
      <c r="R394" s="4"/>
      <c r="S394" s="4"/>
      <c r="T394" s="4"/>
      <c r="U394" s="32"/>
      <c r="V394" s="4"/>
      <c r="W394" s="4"/>
      <c r="X394" s="33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spans="1:41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32"/>
      <c r="L395" s="4"/>
      <c r="M395" s="4"/>
      <c r="N395" s="4"/>
      <c r="O395" s="4"/>
      <c r="P395" s="4"/>
      <c r="Q395" s="4"/>
      <c r="R395" s="4"/>
      <c r="S395" s="4"/>
      <c r="T395" s="4"/>
      <c r="U395" s="32"/>
      <c r="V395" s="4"/>
      <c r="W395" s="4"/>
      <c r="X395" s="33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spans="1:41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32"/>
      <c r="L396" s="4"/>
      <c r="M396" s="4"/>
      <c r="N396" s="4"/>
      <c r="O396" s="4"/>
      <c r="P396" s="4"/>
      <c r="Q396" s="4"/>
      <c r="R396" s="4"/>
      <c r="S396" s="4"/>
      <c r="T396" s="4"/>
      <c r="U396" s="32"/>
      <c r="V396" s="4"/>
      <c r="W396" s="4"/>
      <c r="X396" s="33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spans="1:41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32"/>
      <c r="L397" s="4"/>
      <c r="M397" s="4"/>
      <c r="N397" s="4"/>
      <c r="O397" s="4"/>
      <c r="P397" s="4"/>
      <c r="Q397" s="4"/>
      <c r="R397" s="4"/>
      <c r="S397" s="4"/>
      <c r="T397" s="4"/>
      <c r="U397" s="32"/>
      <c r="V397" s="4"/>
      <c r="W397" s="4"/>
      <c r="X397" s="33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spans="1:41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32"/>
      <c r="L398" s="4"/>
      <c r="M398" s="4"/>
      <c r="N398" s="4"/>
      <c r="O398" s="4"/>
      <c r="P398" s="4"/>
      <c r="Q398" s="4"/>
      <c r="R398" s="4"/>
      <c r="S398" s="4"/>
      <c r="T398" s="4"/>
      <c r="U398" s="32"/>
      <c r="V398" s="4"/>
      <c r="W398" s="4"/>
      <c r="X398" s="33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spans="1:41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32"/>
      <c r="L399" s="4"/>
      <c r="M399" s="4"/>
      <c r="N399" s="4"/>
      <c r="O399" s="4"/>
      <c r="P399" s="4"/>
      <c r="Q399" s="4"/>
      <c r="R399" s="4"/>
      <c r="S399" s="4"/>
      <c r="T399" s="4"/>
      <c r="U399" s="32"/>
      <c r="V399" s="4"/>
      <c r="W399" s="4"/>
      <c r="X399" s="33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spans="1:41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32"/>
      <c r="L400" s="4"/>
      <c r="M400" s="4"/>
      <c r="N400" s="4"/>
      <c r="O400" s="4"/>
      <c r="P400" s="4"/>
      <c r="Q400" s="4"/>
      <c r="R400" s="4"/>
      <c r="S400" s="4"/>
      <c r="T400" s="4"/>
      <c r="U400" s="32"/>
      <c r="V400" s="4"/>
      <c r="W400" s="4"/>
      <c r="X400" s="33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spans="1:4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32"/>
      <c r="L401" s="4"/>
      <c r="M401" s="4"/>
      <c r="N401" s="4"/>
      <c r="O401" s="4"/>
      <c r="P401" s="4"/>
      <c r="Q401" s="4"/>
      <c r="R401" s="4"/>
      <c r="S401" s="4"/>
      <c r="T401" s="4"/>
      <c r="U401" s="32"/>
      <c r="V401" s="4"/>
      <c r="W401" s="4"/>
      <c r="X401" s="33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spans="1:41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32"/>
      <c r="L402" s="4"/>
      <c r="M402" s="4"/>
      <c r="N402" s="4"/>
      <c r="O402" s="4"/>
      <c r="P402" s="4"/>
      <c r="Q402" s="4"/>
      <c r="R402" s="4"/>
      <c r="S402" s="4"/>
      <c r="T402" s="4"/>
      <c r="U402" s="32"/>
      <c r="V402" s="4"/>
      <c r="W402" s="4"/>
      <c r="X402" s="33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spans="1:41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32"/>
      <c r="L403" s="4"/>
      <c r="M403" s="4"/>
      <c r="N403" s="4"/>
      <c r="O403" s="4"/>
      <c r="P403" s="4"/>
      <c r="Q403" s="4"/>
      <c r="R403" s="4"/>
      <c r="S403" s="4"/>
      <c r="T403" s="4"/>
      <c r="U403" s="32"/>
      <c r="V403" s="4"/>
      <c r="W403" s="4"/>
      <c r="X403" s="33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spans="1:41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32"/>
      <c r="L404" s="4"/>
      <c r="M404" s="4"/>
      <c r="N404" s="4"/>
      <c r="O404" s="4"/>
      <c r="P404" s="4"/>
      <c r="Q404" s="4"/>
      <c r="R404" s="4"/>
      <c r="S404" s="4"/>
      <c r="T404" s="4"/>
      <c r="U404" s="32"/>
      <c r="V404" s="4"/>
      <c r="W404" s="4"/>
      <c r="X404" s="33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spans="1:41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32"/>
      <c r="L405" s="4"/>
      <c r="M405" s="4"/>
      <c r="N405" s="4"/>
      <c r="O405" s="4"/>
      <c r="P405" s="4"/>
      <c r="Q405" s="4"/>
      <c r="R405" s="4"/>
      <c r="S405" s="4"/>
      <c r="T405" s="4"/>
      <c r="U405" s="32"/>
      <c r="V405" s="4"/>
      <c r="W405" s="4"/>
      <c r="X405" s="33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spans="1:41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32"/>
      <c r="L406" s="4"/>
      <c r="M406" s="4"/>
      <c r="N406" s="4"/>
      <c r="O406" s="4"/>
      <c r="P406" s="4"/>
      <c r="Q406" s="4"/>
      <c r="R406" s="4"/>
      <c r="S406" s="4"/>
      <c r="T406" s="4"/>
      <c r="U406" s="32"/>
      <c r="V406" s="4"/>
      <c r="W406" s="4"/>
      <c r="X406" s="33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spans="1:41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32"/>
      <c r="L407" s="4"/>
      <c r="M407" s="4"/>
      <c r="N407" s="4"/>
      <c r="O407" s="4"/>
      <c r="P407" s="4"/>
      <c r="Q407" s="4"/>
      <c r="R407" s="4"/>
      <c r="S407" s="4"/>
      <c r="T407" s="4"/>
      <c r="U407" s="32"/>
      <c r="V407" s="4"/>
      <c r="W407" s="4"/>
      <c r="X407" s="33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spans="1:41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32"/>
      <c r="L408" s="4"/>
      <c r="M408" s="4"/>
      <c r="N408" s="4"/>
      <c r="O408" s="4"/>
      <c r="P408" s="4"/>
      <c r="Q408" s="4"/>
      <c r="R408" s="4"/>
      <c r="S408" s="4"/>
      <c r="T408" s="4"/>
      <c r="U408" s="32"/>
      <c r="V408" s="4"/>
      <c r="W408" s="4"/>
      <c r="X408" s="33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spans="1:41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32"/>
      <c r="L409" s="4"/>
      <c r="M409" s="4"/>
      <c r="N409" s="4"/>
      <c r="O409" s="4"/>
      <c r="P409" s="4"/>
      <c r="Q409" s="4"/>
      <c r="R409" s="4"/>
      <c r="S409" s="4"/>
      <c r="T409" s="4"/>
      <c r="U409" s="32"/>
      <c r="V409" s="4"/>
      <c r="W409" s="4"/>
      <c r="X409" s="33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spans="1:41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32"/>
      <c r="L410" s="4"/>
      <c r="M410" s="4"/>
      <c r="N410" s="4"/>
      <c r="O410" s="4"/>
      <c r="P410" s="4"/>
      <c r="Q410" s="4"/>
      <c r="R410" s="4"/>
      <c r="S410" s="4"/>
      <c r="T410" s="4"/>
      <c r="U410" s="32"/>
      <c r="V410" s="4"/>
      <c r="W410" s="4"/>
      <c r="X410" s="33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spans="1:4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32"/>
      <c r="L411" s="4"/>
      <c r="M411" s="4"/>
      <c r="N411" s="4"/>
      <c r="O411" s="4"/>
      <c r="P411" s="4"/>
      <c r="Q411" s="4"/>
      <c r="R411" s="4"/>
      <c r="S411" s="4"/>
      <c r="T411" s="4"/>
      <c r="U411" s="32"/>
      <c r="V411" s="4"/>
      <c r="W411" s="4"/>
      <c r="X411" s="33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spans="1:41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32"/>
      <c r="L412" s="4"/>
      <c r="M412" s="4"/>
      <c r="N412" s="4"/>
      <c r="O412" s="4"/>
      <c r="P412" s="4"/>
      <c r="Q412" s="4"/>
      <c r="R412" s="4"/>
      <c r="S412" s="4"/>
      <c r="T412" s="4"/>
      <c r="U412" s="32"/>
      <c r="V412" s="4"/>
      <c r="W412" s="4"/>
      <c r="X412" s="33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spans="1:41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32"/>
      <c r="L413" s="4"/>
      <c r="M413" s="4"/>
      <c r="N413" s="4"/>
      <c r="O413" s="4"/>
      <c r="P413" s="4"/>
      <c r="Q413" s="4"/>
      <c r="R413" s="4"/>
      <c r="S413" s="4"/>
      <c r="T413" s="4"/>
      <c r="U413" s="32"/>
      <c r="V413" s="4"/>
      <c r="W413" s="4"/>
      <c r="X413" s="33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spans="1:41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32"/>
      <c r="L414" s="4"/>
      <c r="M414" s="4"/>
      <c r="N414" s="4"/>
      <c r="O414" s="4"/>
      <c r="P414" s="4"/>
      <c r="Q414" s="4"/>
      <c r="R414" s="4"/>
      <c r="S414" s="4"/>
      <c r="T414" s="4"/>
      <c r="U414" s="32"/>
      <c r="V414" s="4"/>
      <c r="W414" s="4"/>
      <c r="X414" s="33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spans="1:41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32"/>
      <c r="L415" s="4"/>
      <c r="M415" s="4"/>
      <c r="N415" s="4"/>
      <c r="O415" s="4"/>
      <c r="P415" s="4"/>
      <c r="Q415" s="4"/>
      <c r="R415" s="4"/>
      <c r="S415" s="4"/>
      <c r="T415" s="4"/>
      <c r="U415" s="32"/>
      <c r="V415" s="4"/>
      <c r="W415" s="4"/>
      <c r="X415" s="33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spans="1:41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32"/>
      <c r="L416" s="4"/>
      <c r="M416" s="4"/>
      <c r="N416" s="4"/>
      <c r="O416" s="4"/>
      <c r="P416" s="4"/>
      <c r="Q416" s="4"/>
      <c r="R416" s="4"/>
      <c r="S416" s="4"/>
      <c r="T416" s="4"/>
      <c r="U416" s="32"/>
      <c r="V416" s="4"/>
      <c r="W416" s="4"/>
      <c r="X416" s="33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spans="1:41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32"/>
      <c r="L417" s="4"/>
      <c r="M417" s="4"/>
      <c r="N417" s="4"/>
      <c r="O417" s="4"/>
      <c r="P417" s="4"/>
      <c r="Q417" s="4"/>
      <c r="R417" s="4"/>
      <c r="S417" s="4"/>
      <c r="T417" s="4"/>
      <c r="U417" s="32"/>
      <c r="V417" s="4"/>
      <c r="W417" s="4"/>
      <c r="X417" s="33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spans="1:41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32"/>
      <c r="L418" s="4"/>
      <c r="M418" s="4"/>
      <c r="N418" s="4"/>
      <c r="O418" s="4"/>
      <c r="P418" s="4"/>
      <c r="Q418" s="4"/>
      <c r="R418" s="4"/>
      <c r="S418" s="4"/>
      <c r="T418" s="4"/>
      <c r="U418" s="32"/>
      <c r="V418" s="4"/>
      <c r="W418" s="4"/>
      <c r="X418" s="33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spans="1:41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32"/>
      <c r="L419" s="4"/>
      <c r="M419" s="4"/>
      <c r="N419" s="4"/>
      <c r="O419" s="4"/>
      <c r="P419" s="4"/>
      <c r="Q419" s="4"/>
      <c r="R419" s="4"/>
      <c r="S419" s="4"/>
      <c r="T419" s="4"/>
      <c r="U419" s="32"/>
      <c r="V419" s="4"/>
      <c r="W419" s="4"/>
      <c r="X419" s="33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spans="1:41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32"/>
      <c r="L420" s="4"/>
      <c r="M420" s="4"/>
      <c r="N420" s="4"/>
      <c r="O420" s="4"/>
      <c r="P420" s="4"/>
      <c r="Q420" s="4"/>
      <c r="R420" s="4"/>
      <c r="S420" s="4"/>
      <c r="T420" s="4"/>
      <c r="U420" s="32"/>
      <c r="V420" s="4"/>
      <c r="W420" s="4"/>
      <c r="X420" s="33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spans="1:4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32"/>
      <c r="L421" s="4"/>
      <c r="M421" s="4"/>
      <c r="N421" s="4"/>
      <c r="O421" s="4"/>
      <c r="P421" s="4"/>
      <c r="Q421" s="4"/>
      <c r="R421" s="4"/>
      <c r="S421" s="4"/>
      <c r="T421" s="4"/>
      <c r="U421" s="32"/>
      <c r="V421" s="4"/>
      <c r="W421" s="4"/>
      <c r="X421" s="33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spans="1:41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32"/>
      <c r="L422" s="4"/>
      <c r="M422" s="4"/>
      <c r="N422" s="4"/>
      <c r="O422" s="4"/>
      <c r="P422" s="4"/>
      <c r="Q422" s="4"/>
      <c r="R422" s="4"/>
      <c r="S422" s="4"/>
      <c r="T422" s="4"/>
      <c r="U422" s="32"/>
      <c r="V422" s="4"/>
      <c r="W422" s="4"/>
      <c r="X422" s="33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spans="1:41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32"/>
      <c r="L423" s="4"/>
      <c r="M423" s="4"/>
      <c r="N423" s="4"/>
      <c r="O423" s="4"/>
      <c r="P423" s="4"/>
      <c r="Q423" s="4"/>
      <c r="R423" s="4"/>
      <c r="S423" s="4"/>
      <c r="T423" s="4"/>
      <c r="U423" s="32"/>
      <c r="V423" s="4"/>
      <c r="W423" s="4"/>
      <c r="X423" s="33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spans="1:41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32"/>
      <c r="L424" s="4"/>
      <c r="M424" s="4"/>
      <c r="N424" s="4"/>
      <c r="O424" s="4"/>
      <c r="P424" s="4"/>
      <c r="Q424" s="4"/>
      <c r="R424" s="4"/>
      <c r="S424" s="4"/>
      <c r="T424" s="4"/>
      <c r="U424" s="32"/>
      <c r="V424" s="4"/>
      <c r="W424" s="4"/>
      <c r="X424" s="33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spans="1:41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32"/>
      <c r="L425" s="4"/>
      <c r="M425" s="4"/>
      <c r="N425" s="4"/>
      <c r="O425" s="4"/>
      <c r="P425" s="4"/>
      <c r="Q425" s="4"/>
      <c r="R425" s="4"/>
      <c r="S425" s="4"/>
      <c r="T425" s="4"/>
      <c r="U425" s="32"/>
      <c r="V425" s="4"/>
      <c r="W425" s="4"/>
      <c r="X425" s="33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spans="1:41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32"/>
      <c r="L426" s="4"/>
      <c r="M426" s="4"/>
      <c r="N426" s="4"/>
      <c r="O426" s="4"/>
      <c r="P426" s="4"/>
      <c r="Q426" s="4"/>
      <c r="R426" s="4"/>
      <c r="S426" s="4"/>
      <c r="T426" s="4"/>
      <c r="U426" s="32"/>
      <c r="V426" s="4"/>
      <c r="W426" s="4"/>
      <c r="X426" s="33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spans="1:41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32"/>
      <c r="L427" s="4"/>
      <c r="M427" s="4"/>
      <c r="N427" s="4"/>
      <c r="O427" s="4"/>
      <c r="P427" s="4"/>
      <c r="Q427" s="4"/>
      <c r="R427" s="4"/>
      <c r="S427" s="4"/>
      <c r="T427" s="4"/>
      <c r="U427" s="32"/>
      <c r="V427" s="4"/>
      <c r="W427" s="4"/>
      <c r="X427" s="33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spans="1:41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32"/>
      <c r="L428" s="4"/>
      <c r="M428" s="4"/>
      <c r="N428" s="4"/>
      <c r="O428" s="4"/>
      <c r="P428" s="4"/>
      <c r="Q428" s="4"/>
      <c r="R428" s="4"/>
      <c r="S428" s="4"/>
      <c r="T428" s="4"/>
      <c r="U428" s="32"/>
      <c r="V428" s="4"/>
      <c r="W428" s="4"/>
      <c r="X428" s="33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spans="1:41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32"/>
      <c r="L429" s="4"/>
      <c r="M429" s="4"/>
      <c r="N429" s="4"/>
      <c r="O429" s="4"/>
      <c r="P429" s="4"/>
      <c r="Q429" s="4"/>
      <c r="R429" s="4"/>
      <c r="S429" s="4"/>
      <c r="T429" s="4"/>
      <c r="U429" s="32"/>
      <c r="V429" s="4"/>
      <c r="W429" s="4"/>
      <c r="X429" s="33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spans="1:41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32"/>
      <c r="L430" s="4"/>
      <c r="M430" s="4"/>
      <c r="N430" s="4"/>
      <c r="O430" s="4"/>
      <c r="P430" s="4"/>
      <c r="Q430" s="4"/>
      <c r="R430" s="4"/>
      <c r="S430" s="4"/>
      <c r="T430" s="4"/>
      <c r="U430" s="32"/>
      <c r="V430" s="4"/>
      <c r="W430" s="4"/>
      <c r="X430" s="33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spans="1:4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32"/>
      <c r="L431" s="4"/>
      <c r="M431" s="4"/>
      <c r="N431" s="4"/>
      <c r="O431" s="4"/>
      <c r="P431" s="4"/>
      <c r="Q431" s="4"/>
      <c r="R431" s="4"/>
      <c r="S431" s="4"/>
      <c r="T431" s="4"/>
      <c r="U431" s="32"/>
      <c r="V431" s="4"/>
      <c r="W431" s="4"/>
      <c r="X431" s="33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spans="1:41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32"/>
      <c r="L432" s="4"/>
      <c r="M432" s="4"/>
      <c r="N432" s="4"/>
      <c r="O432" s="4"/>
      <c r="P432" s="4"/>
      <c r="Q432" s="4"/>
      <c r="R432" s="4"/>
      <c r="S432" s="4"/>
      <c r="T432" s="4"/>
      <c r="U432" s="32"/>
      <c r="V432" s="4"/>
      <c r="W432" s="4"/>
      <c r="X432" s="33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spans="1:41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32"/>
      <c r="L433" s="4"/>
      <c r="M433" s="4"/>
      <c r="N433" s="4"/>
      <c r="O433" s="4"/>
      <c r="P433" s="4"/>
      <c r="Q433" s="4"/>
      <c r="R433" s="4"/>
      <c r="S433" s="4"/>
      <c r="T433" s="4"/>
      <c r="U433" s="32"/>
      <c r="V433" s="4"/>
      <c r="W433" s="4"/>
      <c r="X433" s="33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spans="1:41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32"/>
      <c r="L434" s="4"/>
      <c r="M434" s="4"/>
      <c r="N434" s="4"/>
      <c r="O434" s="4"/>
      <c r="P434" s="4"/>
      <c r="Q434" s="4"/>
      <c r="R434" s="4"/>
      <c r="S434" s="4"/>
      <c r="T434" s="4"/>
      <c r="U434" s="32"/>
      <c r="V434" s="4"/>
      <c r="W434" s="4"/>
      <c r="X434" s="33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spans="1:41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32"/>
      <c r="L435" s="4"/>
      <c r="M435" s="4"/>
      <c r="N435" s="4"/>
      <c r="O435" s="4"/>
      <c r="P435" s="4"/>
      <c r="Q435" s="4"/>
      <c r="R435" s="4"/>
      <c r="S435" s="4"/>
      <c r="T435" s="4"/>
      <c r="U435" s="32"/>
      <c r="V435" s="4"/>
      <c r="W435" s="4"/>
      <c r="X435" s="33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spans="1:41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32"/>
      <c r="L436" s="4"/>
      <c r="M436" s="4"/>
      <c r="N436" s="4"/>
      <c r="O436" s="4"/>
      <c r="P436" s="4"/>
      <c r="Q436" s="4"/>
      <c r="R436" s="4"/>
      <c r="S436" s="4"/>
      <c r="T436" s="4"/>
      <c r="U436" s="32"/>
      <c r="V436" s="4"/>
      <c r="W436" s="4"/>
      <c r="X436" s="33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spans="1:41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32"/>
      <c r="L437" s="4"/>
      <c r="M437" s="4"/>
      <c r="N437" s="4"/>
      <c r="O437" s="4"/>
      <c r="P437" s="4"/>
      <c r="Q437" s="4"/>
      <c r="R437" s="4"/>
      <c r="S437" s="4"/>
      <c r="T437" s="4"/>
      <c r="U437" s="32"/>
      <c r="V437" s="4"/>
      <c r="W437" s="4"/>
      <c r="X437" s="33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spans="1:41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32"/>
      <c r="L438" s="4"/>
      <c r="M438" s="4"/>
      <c r="N438" s="4"/>
      <c r="O438" s="4"/>
      <c r="P438" s="4"/>
      <c r="Q438" s="4"/>
      <c r="R438" s="4"/>
      <c r="S438" s="4"/>
      <c r="T438" s="4"/>
      <c r="U438" s="32"/>
      <c r="V438" s="4"/>
      <c r="W438" s="4"/>
      <c r="X438" s="33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spans="1:41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32"/>
      <c r="L439" s="4"/>
      <c r="M439" s="4"/>
      <c r="N439" s="4"/>
      <c r="O439" s="4"/>
      <c r="P439" s="4"/>
      <c r="Q439" s="4"/>
      <c r="R439" s="4"/>
      <c r="S439" s="4"/>
      <c r="T439" s="4"/>
      <c r="U439" s="32"/>
      <c r="V439" s="4"/>
      <c r="W439" s="4"/>
      <c r="X439" s="33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spans="1:41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32"/>
      <c r="L440" s="4"/>
      <c r="M440" s="4"/>
      <c r="N440" s="4"/>
      <c r="O440" s="4"/>
      <c r="P440" s="4"/>
      <c r="Q440" s="4"/>
      <c r="R440" s="4"/>
      <c r="S440" s="4"/>
      <c r="T440" s="4"/>
      <c r="U440" s="32"/>
      <c r="V440" s="4"/>
      <c r="W440" s="4"/>
      <c r="X440" s="33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spans="1: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32"/>
      <c r="L441" s="4"/>
      <c r="M441" s="4"/>
      <c r="N441" s="4"/>
      <c r="O441" s="4"/>
      <c r="P441" s="4"/>
      <c r="Q441" s="4"/>
      <c r="R441" s="4"/>
      <c r="S441" s="4"/>
      <c r="T441" s="4"/>
      <c r="U441" s="32"/>
      <c r="V441" s="4"/>
      <c r="W441" s="4"/>
      <c r="X441" s="33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spans="1:41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32"/>
      <c r="L442" s="4"/>
      <c r="M442" s="4"/>
      <c r="N442" s="4"/>
      <c r="O442" s="4"/>
      <c r="P442" s="4"/>
      <c r="Q442" s="4"/>
      <c r="R442" s="4"/>
      <c r="S442" s="4"/>
      <c r="T442" s="4"/>
      <c r="U442" s="32"/>
      <c r="V442" s="4"/>
      <c r="W442" s="4"/>
      <c r="X442" s="33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spans="1:41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32"/>
      <c r="L443" s="4"/>
      <c r="M443" s="4"/>
      <c r="N443" s="4"/>
      <c r="O443" s="4"/>
      <c r="P443" s="4"/>
      <c r="Q443" s="4"/>
      <c r="R443" s="4"/>
      <c r="S443" s="4"/>
      <c r="T443" s="4"/>
      <c r="U443" s="32"/>
      <c r="V443" s="4"/>
      <c r="W443" s="4"/>
      <c r="X443" s="33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spans="1:41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32"/>
      <c r="L444" s="4"/>
      <c r="M444" s="4"/>
      <c r="N444" s="4"/>
      <c r="O444" s="4"/>
      <c r="P444" s="4"/>
      <c r="Q444" s="4"/>
      <c r="R444" s="4"/>
      <c r="S444" s="4"/>
      <c r="T444" s="4"/>
      <c r="U444" s="32"/>
      <c r="V444" s="4"/>
      <c r="W444" s="4"/>
      <c r="X444" s="33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spans="1:41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32"/>
      <c r="L445" s="4"/>
      <c r="M445" s="4"/>
      <c r="N445" s="4"/>
      <c r="O445" s="4"/>
      <c r="P445" s="4"/>
      <c r="Q445" s="4"/>
      <c r="R445" s="4"/>
      <c r="S445" s="4"/>
      <c r="T445" s="4"/>
      <c r="U445" s="32"/>
      <c r="V445" s="4"/>
      <c r="W445" s="4"/>
      <c r="X445" s="33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spans="1:41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32"/>
      <c r="L446" s="4"/>
      <c r="M446" s="4"/>
      <c r="N446" s="4"/>
      <c r="O446" s="4"/>
      <c r="P446" s="4"/>
      <c r="Q446" s="4"/>
      <c r="R446" s="4"/>
      <c r="S446" s="4"/>
      <c r="T446" s="4"/>
      <c r="U446" s="32"/>
      <c r="V446" s="4"/>
      <c r="W446" s="4"/>
      <c r="X446" s="33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spans="1:41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32"/>
      <c r="L447" s="4"/>
      <c r="M447" s="4"/>
      <c r="N447" s="4"/>
      <c r="O447" s="4"/>
      <c r="P447" s="4"/>
      <c r="Q447" s="4"/>
      <c r="R447" s="4"/>
      <c r="S447" s="4"/>
      <c r="T447" s="4"/>
      <c r="U447" s="32"/>
      <c r="V447" s="4"/>
      <c r="W447" s="4"/>
      <c r="X447" s="33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spans="1:41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32"/>
      <c r="L448" s="4"/>
      <c r="M448" s="4"/>
      <c r="N448" s="4"/>
      <c r="O448" s="4"/>
      <c r="P448" s="4"/>
      <c r="Q448" s="4"/>
      <c r="R448" s="4"/>
      <c r="S448" s="4"/>
      <c r="T448" s="4"/>
      <c r="U448" s="32"/>
      <c r="V448" s="4"/>
      <c r="W448" s="4"/>
      <c r="X448" s="33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spans="1:41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32"/>
      <c r="L449" s="4"/>
      <c r="M449" s="4"/>
      <c r="N449" s="4"/>
      <c r="O449" s="4"/>
      <c r="P449" s="4"/>
      <c r="Q449" s="4"/>
      <c r="R449" s="4"/>
      <c r="S449" s="4"/>
      <c r="T449" s="4"/>
      <c r="U449" s="32"/>
      <c r="V449" s="4"/>
      <c r="W449" s="4"/>
      <c r="X449" s="33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spans="1:41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32"/>
      <c r="L450" s="4"/>
      <c r="M450" s="4"/>
      <c r="N450" s="4"/>
      <c r="O450" s="4"/>
      <c r="P450" s="4"/>
      <c r="Q450" s="4"/>
      <c r="R450" s="4"/>
      <c r="S450" s="4"/>
      <c r="T450" s="4"/>
      <c r="U450" s="32"/>
      <c r="V450" s="4"/>
      <c r="W450" s="4"/>
      <c r="X450" s="33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spans="1:4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32"/>
      <c r="L451" s="4"/>
      <c r="M451" s="4"/>
      <c r="N451" s="4"/>
      <c r="O451" s="4"/>
      <c r="P451" s="4"/>
      <c r="Q451" s="4"/>
      <c r="R451" s="4"/>
      <c r="S451" s="4"/>
      <c r="T451" s="4"/>
      <c r="U451" s="32"/>
      <c r="V451" s="4"/>
      <c r="W451" s="4"/>
      <c r="X451" s="33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spans="1:41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32"/>
      <c r="L452" s="4"/>
      <c r="M452" s="4"/>
      <c r="N452" s="4"/>
      <c r="O452" s="4"/>
      <c r="P452" s="4"/>
      <c r="Q452" s="4"/>
      <c r="R452" s="4"/>
      <c r="S452" s="4"/>
      <c r="T452" s="4"/>
      <c r="U452" s="32"/>
      <c r="V452" s="4"/>
      <c r="W452" s="4"/>
      <c r="X452" s="33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spans="1:41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32"/>
      <c r="L453" s="4"/>
      <c r="M453" s="4"/>
      <c r="N453" s="4"/>
      <c r="O453" s="4"/>
      <c r="P453" s="4"/>
      <c r="Q453" s="4"/>
      <c r="R453" s="4"/>
      <c r="S453" s="4"/>
      <c r="T453" s="4"/>
      <c r="U453" s="32"/>
      <c r="V453" s="4"/>
      <c r="W453" s="4"/>
      <c r="X453" s="33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spans="1:41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32"/>
      <c r="L454" s="4"/>
      <c r="M454" s="4"/>
      <c r="N454" s="4"/>
      <c r="O454" s="4"/>
      <c r="P454" s="4"/>
      <c r="Q454" s="4"/>
      <c r="R454" s="4"/>
      <c r="S454" s="4"/>
      <c r="T454" s="4"/>
      <c r="U454" s="32"/>
      <c r="V454" s="4"/>
      <c r="W454" s="4"/>
      <c r="X454" s="33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spans="1:41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32"/>
      <c r="L455" s="4"/>
      <c r="M455" s="4"/>
      <c r="N455" s="4"/>
      <c r="O455" s="4"/>
      <c r="P455" s="4"/>
      <c r="Q455" s="4"/>
      <c r="R455" s="4"/>
      <c r="S455" s="4"/>
      <c r="T455" s="4"/>
      <c r="U455" s="32"/>
      <c r="V455" s="4"/>
      <c r="W455" s="4"/>
      <c r="X455" s="33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spans="1:41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32"/>
      <c r="L456" s="4"/>
      <c r="M456" s="4"/>
      <c r="N456" s="4"/>
      <c r="O456" s="4"/>
      <c r="P456" s="4"/>
      <c r="Q456" s="4"/>
      <c r="R456" s="4"/>
      <c r="S456" s="4"/>
      <c r="T456" s="4"/>
      <c r="U456" s="32"/>
      <c r="V456" s="4"/>
      <c r="W456" s="4"/>
      <c r="X456" s="33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spans="1:41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32"/>
      <c r="L457" s="4"/>
      <c r="M457" s="4"/>
      <c r="N457" s="4"/>
      <c r="O457" s="4"/>
      <c r="P457" s="4"/>
      <c r="Q457" s="4"/>
      <c r="R457" s="4"/>
      <c r="S457" s="4"/>
      <c r="T457" s="4"/>
      <c r="U457" s="32"/>
      <c r="V457" s="4"/>
      <c r="W457" s="4"/>
      <c r="X457" s="33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spans="1:41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32"/>
      <c r="L458" s="4"/>
      <c r="M458" s="4"/>
      <c r="N458" s="4"/>
      <c r="O458" s="4"/>
      <c r="P458" s="4"/>
      <c r="Q458" s="4"/>
      <c r="R458" s="4"/>
      <c r="S458" s="4"/>
      <c r="T458" s="4"/>
      <c r="U458" s="32"/>
      <c r="V458" s="4"/>
      <c r="W458" s="4"/>
      <c r="X458" s="33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spans="1:41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32"/>
      <c r="L459" s="4"/>
      <c r="M459" s="4"/>
      <c r="N459" s="4"/>
      <c r="O459" s="4"/>
      <c r="P459" s="4"/>
      <c r="Q459" s="4"/>
      <c r="R459" s="4"/>
      <c r="S459" s="4"/>
      <c r="T459" s="4"/>
      <c r="U459" s="32"/>
      <c r="V459" s="4"/>
      <c r="W459" s="4"/>
      <c r="X459" s="33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spans="1:41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32"/>
      <c r="L460" s="4"/>
      <c r="M460" s="4"/>
      <c r="N460" s="4"/>
      <c r="O460" s="4"/>
      <c r="P460" s="4"/>
      <c r="Q460" s="4"/>
      <c r="R460" s="4"/>
      <c r="S460" s="4"/>
      <c r="T460" s="4"/>
      <c r="U460" s="32"/>
      <c r="V460" s="4"/>
      <c r="W460" s="4"/>
      <c r="X460" s="33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spans="1:4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32"/>
      <c r="L461" s="4"/>
      <c r="M461" s="4"/>
      <c r="N461" s="4"/>
      <c r="O461" s="4"/>
      <c r="P461" s="4"/>
      <c r="Q461" s="4"/>
      <c r="R461" s="4"/>
      <c r="S461" s="4"/>
      <c r="T461" s="4"/>
      <c r="U461" s="32"/>
      <c r="V461" s="4"/>
      <c r="W461" s="4"/>
      <c r="X461" s="33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spans="1:41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32"/>
      <c r="L462" s="4"/>
      <c r="M462" s="4"/>
      <c r="N462" s="4"/>
      <c r="O462" s="4"/>
      <c r="P462" s="4"/>
      <c r="Q462" s="4"/>
      <c r="R462" s="4"/>
      <c r="S462" s="4"/>
      <c r="T462" s="4"/>
      <c r="U462" s="32"/>
      <c r="V462" s="4"/>
      <c r="W462" s="4"/>
      <c r="X462" s="33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spans="1:41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32"/>
      <c r="L463" s="4"/>
      <c r="M463" s="4"/>
      <c r="N463" s="4"/>
      <c r="O463" s="4"/>
      <c r="P463" s="4"/>
      <c r="Q463" s="4"/>
      <c r="R463" s="4"/>
      <c r="S463" s="4"/>
      <c r="T463" s="4"/>
      <c r="U463" s="32"/>
      <c r="V463" s="4"/>
      <c r="W463" s="4"/>
      <c r="X463" s="33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spans="1:41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32"/>
      <c r="L464" s="4"/>
      <c r="M464" s="4"/>
      <c r="N464" s="4"/>
      <c r="O464" s="4"/>
      <c r="P464" s="4"/>
      <c r="Q464" s="4"/>
      <c r="R464" s="4"/>
      <c r="S464" s="4"/>
      <c r="T464" s="4"/>
      <c r="U464" s="32"/>
      <c r="V464" s="4"/>
      <c r="W464" s="4"/>
      <c r="X464" s="33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spans="1:41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32"/>
      <c r="L465" s="4"/>
      <c r="M465" s="4"/>
      <c r="N465" s="4"/>
      <c r="O465" s="4"/>
      <c r="P465" s="4"/>
      <c r="Q465" s="4"/>
      <c r="R465" s="4"/>
      <c r="S465" s="4"/>
      <c r="T465" s="4"/>
      <c r="U465" s="32"/>
      <c r="V465" s="4"/>
      <c r="W465" s="4"/>
      <c r="X465" s="33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spans="1:41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32"/>
      <c r="L466" s="4"/>
      <c r="M466" s="4"/>
      <c r="N466" s="4"/>
      <c r="O466" s="4"/>
      <c r="P466" s="4"/>
      <c r="Q466" s="4"/>
      <c r="R466" s="4"/>
      <c r="S466" s="4"/>
      <c r="T466" s="4"/>
      <c r="U466" s="32"/>
      <c r="V466" s="4"/>
      <c r="W466" s="4"/>
      <c r="X466" s="33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spans="1:41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32"/>
      <c r="L467" s="4"/>
      <c r="M467" s="4"/>
      <c r="N467" s="4"/>
      <c r="O467" s="4"/>
      <c r="P467" s="4"/>
      <c r="Q467" s="4"/>
      <c r="R467" s="4"/>
      <c r="S467" s="4"/>
      <c r="T467" s="4"/>
      <c r="U467" s="32"/>
      <c r="V467" s="4"/>
      <c r="W467" s="4"/>
      <c r="X467" s="33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spans="1:41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32"/>
      <c r="L468" s="4"/>
      <c r="M468" s="4"/>
      <c r="N468" s="4"/>
      <c r="O468" s="4"/>
      <c r="P468" s="4"/>
      <c r="Q468" s="4"/>
      <c r="R468" s="4"/>
      <c r="S468" s="4"/>
      <c r="T468" s="4"/>
      <c r="U468" s="32"/>
      <c r="V468" s="4"/>
      <c r="W468" s="4"/>
      <c r="X468" s="33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spans="1:41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32"/>
      <c r="L469" s="4"/>
      <c r="M469" s="4"/>
      <c r="N469" s="4"/>
      <c r="O469" s="4"/>
      <c r="P469" s="4"/>
      <c r="Q469" s="4"/>
      <c r="R469" s="4"/>
      <c r="S469" s="4"/>
      <c r="T469" s="4"/>
      <c r="U469" s="32"/>
      <c r="V469" s="4"/>
      <c r="W469" s="4"/>
      <c r="X469" s="33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spans="1:41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32"/>
      <c r="L470" s="4"/>
      <c r="M470" s="4"/>
      <c r="N470" s="4"/>
      <c r="O470" s="4"/>
      <c r="P470" s="4"/>
      <c r="Q470" s="4"/>
      <c r="R470" s="4"/>
      <c r="S470" s="4"/>
      <c r="T470" s="4"/>
      <c r="U470" s="32"/>
      <c r="V470" s="4"/>
      <c r="W470" s="4"/>
      <c r="X470" s="33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spans="1:4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32"/>
      <c r="L471" s="4"/>
      <c r="M471" s="4"/>
      <c r="N471" s="4"/>
      <c r="O471" s="4"/>
      <c r="P471" s="4"/>
      <c r="Q471" s="4"/>
      <c r="R471" s="4"/>
      <c r="S471" s="4"/>
      <c r="T471" s="4"/>
      <c r="U471" s="32"/>
      <c r="V471" s="4"/>
      <c r="W471" s="4"/>
      <c r="X471" s="33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spans="1:41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32"/>
      <c r="L472" s="4"/>
      <c r="M472" s="4"/>
      <c r="N472" s="4"/>
      <c r="O472" s="4"/>
      <c r="P472" s="4"/>
      <c r="Q472" s="4"/>
      <c r="R472" s="4"/>
      <c r="S472" s="4"/>
      <c r="T472" s="4"/>
      <c r="U472" s="32"/>
      <c r="V472" s="4"/>
      <c r="W472" s="4"/>
      <c r="X472" s="33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spans="1:41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32"/>
      <c r="L473" s="4"/>
      <c r="M473" s="4"/>
      <c r="N473" s="4"/>
      <c r="O473" s="4"/>
      <c r="P473" s="4"/>
      <c r="Q473" s="4"/>
      <c r="R473" s="4"/>
      <c r="S473" s="4"/>
      <c r="T473" s="4"/>
      <c r="U473" s="32"/>
      <c r="V473" s="4"/>
      <c r="W473" s="4"/>
      <c r="X473" s="33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spans="1:41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32"/>
      <c r="L474" s="4"/>
      <c r="M474" s="4"/>
      <c r="N474" s="4"/>
      <c r="O474" s="4"/>
      <c r="P474" s="4"/>
      <c r="Q474" s="4"/>
      <c r="R474" s="4"/>
      <c r="S474" s="4"/>
      <c r="T474" s="4"/>
      <c r="U474" s="32"/>
      <c r="V474" s="4"/>
      <c r="W474" s="4"/>
      <c r="X474" s="33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spans="1:41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32"/>
      <c r="L475" s="4"/>
      <c r="M475" s="4"/>
      <c r="N475" s="4"/>
      <c r="O475" s="4"/>
      <c r="P475" s="4"/>
      <c r="Q475" s="4"/>
      <c r="R475" s="4"/>
      <c r="S475" s="4"/>
      <c r="T475" s="4"/>
      <c r="U475" s="32"/>
      <c r="V475" s="4"/>
      <c r="W475" s="4"/>
      <c r="X475" s="33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spans="1:41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32"/>
      <c r="L476" s="4"/>
      <c r="M476" s="4"/>
      <c r="N476" s="4"/>
      <c r="O476" s="4"/>
      <c r="P476" s="4"/>
      <c r="Q476" s="4"/>
      <c r="R476" s="4"/>
      <c r="S476" s="4"/>
      <c r="T476" s="4"/>
      <c r="U476" s="32"/>
      <c r="V476" s="4"/>
      <c r="W476" s="4"/>
      <c r="X476" s="33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spans="1:41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32"/>
      <c r="L477" s="4"/>
      <c r="M477" s="4"/>
      <c r="N477" s="4"/>
      <c r="O477" s="4"/>
      <c r="P477" s="4"/>
      <c r="Q477" s="4"/>
      <c r="R477" s="4"/>
      <c r="S477" s="4"/>
      <c r="T477" s="4"/>
      <c r="U477" s="32"/>
      <c r="V477" s="4"/>
      <c r="W477" s="4"/>
      <c r="X477" s="33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spans="1:41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32"/>
      <c r="L478" s="4"/>
      <c r="M478" s="4"/>
      <c r="N478" s="4"/>
      <c r="O478" s="4"/>
      <c r="P478" s="4"/>
      <c r="Q478" s="4"/>
      <c r="R478" s="4"/>
      <c r="S478" s="4"/>
      <c r="T478" s="4"/>
      <c r="U478" s="32"/>
      <c r="V478" s="4"/>
      <c r="W478" s="4"/>
      <c r="X478" s="33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spans="1:41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32"/>
      <c r="L479" s="4"/>
      <c r="M479" s="4"/>
      <c r="N479" s="4"/>
      <c r="O479" s="4"/>
      <c r="P479" s="4"/>
      <c r="Q479" s="4"/>
      <c r="R479" s="4"/>
      <c r="S479" s="4"/>
      <c r="T479" s="4"/>
      <c r="U479" s="32"/>
      <c r="V479" s="4"/>
      <c r="W479" s="4"/>
      <c r="X479" s="33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spans="1:41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32"/>
      <c r="L480" s="4"/>
      <c r="M480" s="4"/>
      <c r="N480" s="4"/>
      <c r="O480" s="4"/>
      <c r="P480" s="4"/>
      <c r="Q480" s="4"/>
      <c r="R480" s="4"/>
      <c r="S480" s="4"/>
      <c r="T480" s="4"/>
      <c r="U480" s="32"/>
      <c r="V480" s="4"/>
      <c r="W480" s="4"/>
      <c r="X480" s="33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spans="1:4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32"/>
      <c r="L481" s="4"/>
      <c r="M481" s="4"/>
      <c r="N481" s="4"/>
      <c r="O481" s="4"/>
      <c r="P481" s="4"/>
      <c r="Q481" s="4"/>
      <c r="R481" s="4"/>
      <c r="S481" s="4"/>
      <c r="T481" s="4"/>
      <c r="U481" s="32"/>
      <c r="V481" s="4"/>
      <c r="W481" s="4"/>
      <c r="X481" s="33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spans="1:41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32"/>
      <c r="L482" s="4"/>
      <c r="M482" s="4"/>
      <c r="N482" s="4"/>
      <c r="O482" s="4"/>
      <c r="P482" s="4"/>
      <c r="Q482" s="4"/>
      <c r="R482" s="4"/>
      <c r="S482" s="4"/>
      <c r="T482" s="4"/>
      <c r="U482" s="32"/>
      <c r="V482" s="4"/>
      <c r="W482" s="4"/>
      <c r="X482" s="33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spans="1:41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32"/>
      <c r="L483" s="4"/>
      <c r="M483" s="4"/>
      <c r="N483" s="4"/>
      <c r="O483" s="4"/>
      <c r="P483" s="4"/>
      <c r="Q483" s="4"/>
      <c r="R483" s="4"/>
      <c r="S483" s="4"/>
      <c r="T483" s="4"/>
      <c r="U483" s="32"/>
      <c r="V483" s="4"/>
      <c r="W483" s="4"/>
      <c r="X483" s="33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spans="1:41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32"/>
      <c r="L484" s="4"/>
      <c r="M484" s="4"/>
      <c r="N484" s="4"/>
      <c r="O484" s="4"/>
      <c r="P484" s="4"/>
      <c r="Q484" s="4"/>
      <c r="R484" s="4"/>
      <c r="S484" s="4"/>
      <c r="T484" s="4"/>
      <c r="U484" s="32"/>
      <c r="V484" s="4"/>
      <c r="W484" s="4"/>
      <c r="X484" s="33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spans="1:41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32"/>
      <c r="L485" s="4"/>
      <c r="M485" s="4"/>
      <c r="N485" s="4"/>
      <c r="O485" s="4"/>
      <c r="P485" s="4"/>
      <c r="Q485" s="4"/>
      <c r="R485" s="4"/>
      <c r="S485" s="4"/>
      <c r="T485" s="4"/>
      <c r="U485" s="32"/>
      <c r="V485" s="4"/>
      <c r="W485" s="4"/>
      <c r="X485" s="33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spans="1:41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32"/>
      <c r="L486" s="4"/>
      <c r="M486" s="4"/>
      <c r="N486" s="4"/>
      <c r="O486" s="4"/>
      <c r="P486" s="4"/>
      <c r="Q486" s="4"/>
      <c r="R486" s="4"/>
      <c r="S486" s="4"/>
      <c r="T486" s="4"/>
      <c r="U486" s="32"/>
      <c r="V486" s="4"/>
      <c r="W486" s="4"/>
      <c r="X486" s="33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spans="1:41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32"/>
      <c r="L487" s="4"/>
      <c r="M487" s="4"/>
      <c r="N487" s="4"/>
      <c r="O487" s="4"/>
      <c r="P487" s="4"/>
      <c r="Q487" s="4"/>
      <c r="R487" s="4"/>
      <c r="S487" s="4"/>
      <c r="T487" s="4"/>
      <c r="U487" s="32"/>
      <c r="V487" s="4"/>
      <c r="W487" s="4"/>
      <c r="X487" s="33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spans="1:41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32"/>
      <c r="L488" s="4"/>
      <c r="M488" s="4"/>
      <c r="N488" s="4"/>
      <c r="O488" s="4"/>
      <c r="P488" s="4"/>
      <c r="Q488" s="4"/>
      <c r="R488" s="4"/>
      <c r="S488" s="4"/>
      <c r="T488" s="4"/>
      <c r="U488" s="32"/>
      <c r="V488" s="4"/>
      <c r="W488" s="4"/>
      <c r="X488" s="33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spans="1:41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32"/>
      <c r="L489" s="4"/>
      <c r="M489" s="4"/>
      <c r="N489" s="4"/>
      <c r="O489" s="4"/>
      <c r="P489" s="4"/>
      <c r="Q489" s="4"/>
      <c r="R489" s="4"/>
      <c r="S489" s="4"/>
      <c r="T489" s="4"/>
      <c r="U489" s="32"/>
      <c r="V489" s="4"/>
      <c r="W489" s="4"/>
      <c r="X489" s="33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spans="1:41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32"/>
      <c r="L490" s="4"/>
      <c r="M490" s="4"/>
      <c r="N490" s="4"/>
      <c r="O490" s="4"/>
      <c r="P490" s="4"/>
      <c r="Q490" s="4"/>
      <c r="R490" s="4"/>
      <c r="S490" s="4"/>
      <c r="T490" s="4"/>
      <c r="U490" s="32"/>
      <c r="V490" s="4"/>
      <c r="W490" s="4"/>
      <c r="X490" s="33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spans="1:4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32"/>
      <c r="L491" s="4"/>
      <c r="M491" s="4"/>
      <c r="N491" s="4"/>
      <c r="O491" s="4"/>
      <c r="P491" s="4"/>
      <c r="Q491" s="4"/>
      <c r="R491" s="4"/>
      <c r="S491" s="4"/>
      <c r="T491" s="4"/>
      <c r="U491" s="32"/>
      <c r="V491" s="4"/>
      <c r="W491" s="4"/>
      <c r="X491" s="33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spans="1:41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32"/>
      <c r="L492" s="4"/>
      <c r="M492" s="4"/>
      <c r="N492" s="4"/>
      <c r="O492" s="4"/>
      <c r="P492" s="4"/>
      <c r="Q492" s="4"/>
      <c r="R492" s="4"/>
      <c r="S492" s="4"/>
      <c r="T492" s="4"/>
      <c r="U492" s="32"/>
      <c r="V492" s="4"/>
      <c r="W492" s="4"/>
      <c r="X492" s="33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spans="1:41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32"/>
      <c r="L493" s="4"/>
      <c r="M493" s="4"/>
      <c r="N493" s="4"/>
      <c r="O493" s="4"/>
      <c r="P493" s="4"/>
      <c r="Q493" s="4"/>
      <c r="R493" s="4"/>
      <c r="S493" s="4"/>
      <c r="T493" s="4"/>
      <c r="U493" s="32"/>
      <c r="V493" s="4"/>
      <c r="W493" s="4"/>
      <c r="X493" s="33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spans="1:41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32"/>
      <c r="L494" s="4"/>
      <c r="M494" s="4"/>
      <c r="N494" s="4"/>
      <c r="O494" s="4"/>
      <c r="P494" s="4"/>
      <c r="Q494" s="4"/>
      <c r="R494" s="4"/>
      <c r="S494" s="4"/>
      <c r="T494" s="4"/>
      <c r="U494" s="32"/>
      <c r="V494" s="4"/>
      <c r="W494" s="4"/>
      <c r="X494" s="33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spans="1:41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32"/>
      <c r="L495" s="4"/>
      <c r="M495" s="4"/>
      <c r="N495" s="4"/>
      <c r="O495" s="4"/>
      <c r="P495" s="4"/>
      <c r="Q495" s="4"/>
      <c r="R495" s="4"/>
      <c r="S495" s="4"/>
      <c r="T495" s="4"/>
      <c r="U495" s="32"/>
      <c r="V495" s="4"/>
      <c r="W495" s="4"/>
      <c r="X495" s="33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spans="1:41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32"/>
      <c r="L496" s="4"/>
      <c r="M496" s="4"/>
      <c r="N496" s="4"/>
      <c r="O496" s="4"/>
      <c r="P496" s="4"/>
      <c r="Q496" s="4"/>
      <c r="R496" s="4"/>
      <c r="S496" s="4"/>
      <c r="T496" s="4"/>
      <c r="U496" s="32"/>
      <c r="V496" s="4"/>
      <c r="W496" s="4"/>
      <c r="X496" s="33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spans="1:41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32"/>
      <c r="L497" s="4"/>
      <c r="M497" s="4"/>
      <c r="N497" s="4"/>
      <c r="O497" s="4"/>
      <c r="P497" s="4"/>
      <c r="Q497" s="4"/>
      <c r="R497" s="4"/>
      <c r="S497" s="4"/>
      <c r="T497" s="4"/>
      <c r="U497" s="32"/>
      <c r="V497" s="4"/>
      <c r="W497" s="4"/>
      <c r="X497" s="33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spans="1:41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32"/>
      <c r="L498" s="4"/>
      <c r="M498" s="4"/>
      <c r="N498" s="4"/>
      <c r="O498" s="4"/>
      <c r="P498" s="4"/>
      <c r="Q498" s="4"/>
      <c r="R498" s="4"/>
      <c r="S498" s="4"/>
      <c r="T498" s="4"/>
      <c r="U498" s="32"/>
      <c r="V498" s="4"/>
      <c r="W498" s="4"/>
      <c r="X498" s="33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spans="1:41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32"/>
      <c r="L499" s="4"/>
      <c r="M499" s="4"/>
      <c r="N499" s="4"/>
      <c r="O499" s="4"/>
      <c r="P499" s="4"/>
      <c r="Q499" s="4"/>
      <c r="R499" s="4"/>
      <c r="S499" s="4"/>
      <c r="T499" s="4"/>
      <c r="U499" s="32"/>
      <c r="V499" s="4"/>
      <c r="W499" s="4"/>
      <c r="X499" s="33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spans="1:41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32"/>
      <c r="L500" s="4"/>
      <c r="M500" s="4"/>
      <c r="N500" s="4"/>
      <c r="O500" s="4"/>
      <c r="P500" s="4"/>
      <c r="Q500" s="4"/>
      <c r="R500" s="4"/>
      <c r="S500" s="4"/>
      <c r="T500" s="4"/>
      <c r="U500" s="32"/>
      <c r="V500" s="4"/>
      <c r="W500" s="4"/>
      <c r="X500" s="33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spans="1:4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32"/>
      <c r="L501" s="4"/>
      <c r="M501" s="4"/>
      <c r="N501" s="4"/>
      <c r="O501" s="4"/>
      <c r="P501" s="4"/>
      <c r="Q501" s="4"/>
      <c r="R501" s="4"/>
      <c r="S501" s="4"/>
      <c r="T501" s="4"/>
      <c r="U501" s="32"/>
      <c r="V501" s="4"/>
      <c r="W501" s="4"/>
      <c r="X501" s="33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spans="1:41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32"/>
      <c r="L502" s="4"/>
      <c r="M502" s="4"/>
      <c r="N502" s="4"/>
      <c r="O502" s="4"/>
      <c r="P502" s="4"/>
      <c r="Q502" s="4"/>
      <c r="R502" s="4"/>
      <c r="S502" s="4"/>
      <c r="T502" s="4"/>
      <c r="U502" s="32"/>
      <c r="V502" s="4"/>
      <c r="W502" s="4"/>
      <c r="X502" s="33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spans="1:41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32"/>
      <c r="L503" s="4"/>
      <c r="M503" s="4"/>
      <c r="N503" s="4"/>
      <c r="O503" s="4"/>
      <c r="P503" s="4"/>
      <c r="Q503" s="4"/>
      <c r="R503" s="4"/>
      <c r="S503" s="4"/>
      <c r="T503" s="4"/>
      <c r="U503" s="32"/>
      <c r="V503" s="4"/>
      <c r="W503" s="4"/>
      <c r="X503" s="33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spans="1:41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32"/>
      <c r="L504" s="4"/>
      <c r="M504" s="4"/>
      <c r="N504" s="4"/>
      <c r="O504" s="4"/>
      <c r="P504" s="4"/>
      <c r="Q504" s="4"/>
      <c r="R504" s="4"/>
      <c r="S504" s="4"/>
      <c r="T504" s="4"/>
      <c r="U504" s="32"/>
      <c r="V504" s="4"/>
      <c r="W504" s="4"/>
      <c r="X504" s="33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spans="1:41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32"/>
      <c r="L505" s="4"/>
      <c r="M505" s="4"/>
      <c r="N505" s="4"/>
      <c r="O505" s="4"/>
      <c r="P505" s="4"/>
      <c r="Q505" s="4"/>
      <c r="R505" s="4"/>
      <c r="S505" s="4"/>
      <c r="T505" s="4"/>
      <c r="U505" s="32"/>
      <c r="V505" s="4"/>
      <c r="W505" s="4"/>
      <c r="X505" s="33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spans="1:41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32"/>
      <c r="L506" s="4"/>
      <c r="M506" s="4"/>
      <c r="N506" s="4"/>
      <c r="O506" s="4"/>
      <c r="P506" s="4"/>
      <c r="Q506" s="4"/>
      <c r="R506" s="4"/>
      <c r="S506" s="4"/>
      <c r="T506" s="4"/>
      <c r="U506" s="32"/>
      <c r="V506" s="4"/>
      <c r="W506" s="4"/>
      <c r="X506" s="33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spans="1:41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32"/>
      <c r="L507" s="4"/>
      <c r="M507" s="4"/>
      <c r="N507" s="4"/>
      <c r="O507" s="4"/>
      <c r="P507" s="4"/>
      <c r="Q507" s="4"/>
      <c r="R507" s="4"/>
      <c r="S507" s="4"/>
      <c r="T507" s="4"/>
      <c r="U507" s="32"/>
      <c r="V507" s="4"/>
      <c r="W507" s="4"/>
      <c r="X507" s="33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spans="1:41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32"/>
      <c r="L508" s="4"/>
      <c r="M508" s="4"/>
      <c r="N508" s="4"/>
      <c r="O508" s="4"/>
      <c r="P508" s="4"/>
      <c r="Q508" s="4"/>
      <c r="R508" s="4"/>
      <c r="S508" s="4"/>
      <c r="T508" s="4"/>
      <c r="U508" s="32"/>
      <c r="V508" s="4"/>
      <c r="W508" s="4"/>
      <c r="X508" s="33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spans="1:41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32"/>
      <c r="L509" s="4"/>
      <c r="M509" s="4"/>
      <c r="N509" s="4"/>
      <c r="O509" s="4"/>
      <c r="P509" s="4"/>
      <c r="Q509" s="4"/>
      <c r="R509" s="4"/>
      <c r="S509" s="4"/>
      <c r="T509" s="4"/>
      <c r="U509" s="32"/>
      <c r="V509" s="4"/>
      <c r="W509" s="4"/>
      <c r="X509" s="33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spans="1:41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32"/>
      <c r="L510" s="4"/>
      <c r="M510" s="4"/>
      <c r="N510" s="4"/>
      <c r="O510" s="4"/>
      <c r="P510" s="4"/>
      <c r="Q510" s="4"/>
      <c r="R510" s="4"/>
      <c r="S510" s="4"/>
      <c r="T510" s="4"/>
      <c r="U510" s="32"/>
      <c r="V510" s="4"/>
      <c r="W510" s="4"/>
      <c r="X510" s="33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spans="1:4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32"/>
      <c r="L511" s="4"/>
      <c r="M511" s="4"/>
      <c r="N511" s="4"/>
      <c r="O511" s="4"/>
      <c r="P511" s="4"/>
      <c r="Q511" s="4"/>
      <c r="R511" s="4"/>
      <c r="S511" s="4"/>
      <c r="T511" s="4"/>
      <c r="U511" s="32"/>
      <c r="V511" s="4"/>
      <c r="W511" s="4"/>
      <c r="X511" s="33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spans="1:41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32"/>
      <c r="L512" s="4"/>
      <c r="M512" s="4"/>
      <c r="N512" s="4"/>
      <c r="O512" s="4"/>
      <c r="P512" s="4"/>
      <c r="Q512" s="4"/>
      <c r="R512" s="4"/>
      <c r="S512" s="4"/>
      <c r="T512" s="4"/>
      <c r="U512" s="32"/>
      <c r="V512" s="4"/>
      <c r="W512" s="4"/>
      <c r="X512" s="33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spans="1:41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32"/>
      <c r="L513" s="4"/>
      <c r="M513" s="4"/>
      <c r="N513" s="4"/>
      <c r="O513" s="4"/>
      <c r="P513" s="4"/>
      <c r="Q513" s="4"/>
      <c r="R513" s="4"/>
      <c r="S513" s="4"/>
      <c r="T513" s="4"/>
      <c r="U513" s="32"/>
      <c r="V513" s="4"/>
      <c r="W513" s="4"/>
      <c r="X513" s="33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spans="1:41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32"/>
      <c r="L514" s="4"/>
      <c r="M514" s="4"/>
      <c r="N514" s="4"/>
      <c r="O514" s="4"/>
      <c r="P514" s="4"/>
      <c r="Q514" s="4"/>
      <c r="R514" s="4"/>
      <c r="S514" s="4"/>
      <c r="T514" s="4"/>
      <c r="U514" s="32"/>
      <c r="V514" s="4"/>
      <c r="W514" s="4"/>
      <c r="X514" s="33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spans="1:41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32"/>
      <c r="L515" s="4"/>
      <c r="M515" s="4"/>
      <c r="N515" s="4"/>
      <c r="O515" s="4"/>
      <c r="P515" s="4"/>
      <c r="Q515" s="4"/>
      <c r="R515" s="4"/>
      <c r="S515" s="4"/>
      <c r="T515" s="4"/>
      <c r="U515" s="32"/>
      <c r="V515" s="4"/>
      <c r="W515" s="4"/>
      <c r="X515" s="33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spans="1:41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32"/>
      <c r="L516" s="4"/>
      <c r="M516" s="4"/>
      <c r="N516" s="4"/>
      <c r="O516" s="4"/>
      <c r="P516" s="4"/>
      <c r="Q516" s="4"/>
      <c r="R516" s="4"/>
      <c r="S516" s="4"/>
      <c r="T516" s="4"/>
      <c r="U516" s="32"/>
      <c r="V516" s="4"/>
      <c r="W516" s="4"/>
      <c r="X516" s="33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spans="1:41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32"/>
      <c r="L517" s="4"/>
      <c r="M517" s="4"/>
      <c r="N517" s="4"/>
      <c r="O517" s="4"/>
      <c r="P517" s="4"/>
      <c r="Q517" s="4"/>
      <c r="R517" s="4"/>
      <c r="S517" s="4"/>
      <c r="T517" s="4"/>
      <c r="U517" s="32"/>
      <c r="V517" s="4"/>
      <c r="W517" s="4"/>
      <c r="X517" s="33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spans="1:41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32"/>
      <c r="L518" s="4"/>
      <c r="M518" s="4"/>
      <c r="N518" s="4"/>
      <c r="O518" s="4"/>
      <c r="P518" s="4"/>
      <c r="Q518" s="4"/>
      <c r="R518" s="4"/>
      <c r="S518" s="4"/>
      <c r="T518" s="4"/>
      <c r="U518" s="32"/>
      <c r="V518" s="4"/>
      <c r="W518" s="4"/>
      <c r="X518" s="33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spans="1:41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32"/>
      <c r="L519" s="4"/>
      <c r="M519" s="4"/>
      <c r="N519" s="4"/>
      <c r="O519" s="4"/>
      <c r="P519" s="4"/>
      <c r="Q519" s="4"/>
      <c r="R519" s="4"/>
      <c r="S519" s="4"/>
      <c r="T519" s="4"/>
      <c r="U519" s="32"/>
      <c r="V519" s="4"/>
      <c r="W519" s="4"/>
      <c r="X519" s="33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spans="1:41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32"/>
      <c r="L520" s="4"/>
      <c r="M520" s="4"/>
      <c r="N520" s="4"/>
      <c r="O520" s="4"/>
      <c r="P520" s="4"/>
      <c r="Q520" s="4"/>
      <c r="R520" s="4"/>
      <c r="S520" s="4"/>
      <c r="T520" s="4"/>
      <c r="U520" s="32"/>
      <c r="V520" s="4"/>
      <c r="W520" s="4"/>
      <c r="X520" s="33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spans="1:4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32"/>
      <c r="L521" s="4"/>
      <c r="M521" s="4"/>
      <c r="N521" s="4"/>
      <c r="O521" s="4"/>
      <c r="P521" s="4"/>
      <c r="Q521" s="4"/>
      <c r="R521" s="4"/>
      <c r="S521" s="4"/>
      <c r="T521" s="4"/>
      <c r="U521" s="32"/>
      <c r="V521" s="4"/>
      <c r="W521" s="4"/>
      <c r="X521" s="33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spans="1:41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32"/>
      <c r="L522" s="4"/>
      <c r="M522" s="4"/>
      <c r="N522" s="4"/>
      <c r="O522" s="4"/>
      <c r="P522" s="4"/>
      <c r="Q522" s="4"/>
      <c r="R522" s="4"/>
      <c r="S522" s="4"/>
      <c r="T522" s="4"/>
      <c r="U522" s="32"/>
      <c r="V522" s="4"/>
      <c r="W522" s="4"/>
      <c r="X522" s="33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spans="1:41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32"/>
      <c r="L523" s="4"/>
      <c r="M523" s="4"/>
      <c r="N523" s="4"/>
      <c r="O523" s="4"/>
      <c r="P523" s="4"/>
      <c r="Q523" s="4"/>
      <c r="R523" s="4"/>
      <c r="S523" s="4"/>
      <c r="T523" s="4"/>
      <c r="U523" s="32"/>
      <c r="V523" s="4"/>
      <c r="W523" s="4"/>
      <c r="X523" s="33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spans="1:41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32"/>
      <c r="L524" s="4"/>
      <c r="M524" s="4"/>
      <c r="N524" s="4"/>
      <c r="O524" s="4"/>
      <c r="P524" s="4"/>
      <c r="Q524" s="4"/>
      <c r="R524" s="4"/>
      <c r="S524" s="4"/>
      <c r="T524" s="4"/>
      <c r="U524" s="32"/>
      <c r="V524" s="4"/>
      <c r="W524" s="4"/>
      <c r="X524" s="33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spans="1:41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32"/>
      <c r="L525" s="4"/>
      <c r="M525" s="4"/>
      <c r="N525" s="4"/>
      <c r="O525" s="4"/>
      <c r="P525" s="4"/>
      <c r="Q525" s="4"/>
      <c r="R525" s="4"/>
      <c r="S525" s="4"/>
      <c r="T525" s="4"/>
      <c r="U525" s="32"/>
      <c r="V525" s="4"/>
      <c r="W525" s="4"/>
      <c r="X525" s="33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spans="1:41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32"/>
      <c r="L526" s="4"/>
      <c r="M526" s="4"/>
      <c r="N526" s="4"/>
      <c r="O526" s="4"/>
      <c r="P526" s="4"/>
      <c r="Q526" s="4"/>
      <c r="R526" s="4"/>
      <c r="S526" s="4"/>
      <c r="T526" s="4"/>
      <c r="U526" s="32"/>
      <c r="V526" s="4"/>
      <c r="W526" s="4"/>
      <c r="X526" s="33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spans="1:41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32"/>
      <c r="L527" s="4"/>
      <c r="M527" s="4"/>
      <c r="N527" s="4"/>
      <c r="O527" s="4"/>
      <c r="P527" s="4"/>
      <c r="Q527" s="4"/>
      <c r="R527" s="4"/>
      <c r="S527" s="4"/>
      <c r="T527" s="4"/>
      <c r="U527" s="32"/>
      <c r="V527" s="4"/>
      <c r="W527" s="4"/>
      <c r="X527" s="33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spans="1:41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32"/>
      <c r="L528" s="4"/>
      <c r="M528" s="4"/>
      <c r="N528" s="4"/>
      <c r="O528" s="4"/>
      <c r="P528" s="4"/>
      <c r="Q528" s="4"/>
      <c r="R528" s="4"/>
      <c r="S528" s="4"/>
      <c r="T528" s="4"/>
      <c r="U528" s="32"/>
      <c r="V528" s="4"/>
      <c r="W528" s="4"/>
      <c r="X528" s="33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spans="1:41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32"/>
      <c r="L529" s="4"/>
      <c r="M529" s="4"/>
      <c r="N529" s="4"/>
      <c r="O529" s="4"/>
      <c r="P529" s="4"/>
      <c r="Q529" s="4"/>
      <c r="R529" s="4"/>
      <c r="S529" s="4"/>
      <c r="T529" s="4"/>
      <c r="U529" s="32"/>
      <c r="V529" s="4"/>
      <c r="W529" s="4"/>
      <c r="X529" s="33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spans="1:41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32"/>
      <c r="L530" s="4"/>
      <c r="M530" s="4"/>
      <c r="N530" s="4"/>
      <c r="O530" s="4"/>
      <c r="P530" s="4"/>
      <c r="Q530" s="4"/>
      <c r="R530" s="4"/>
      <c r="S530" s="4"/>
      <c r="T530" s="4"/>
      <c r="U530" s="32"/>
      <c r="V530" s="4"/>
      <c r="W530" s="4"/>
      <c r="X530" s="33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spans="1:4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32"/>
      <c r="L531" s="4"/>
      <c r="M531" s="4"/>
      <c r="N531" s="4"/>
      <c r="O531" s="4"/>
      <c r="P531" s="4"/>
      <c r="Q531" s="4"/>
      <c r="R531" s="4"/>
      <c r="S531" s="4"/>
      <c r="T531" s="4"/>
      <c r="U531" s="32"/>
      <c r="V531" s="4"/>
      <c r="W531" s="4"/>
      <c r="X531" s="33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spans="1:41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32"/>
      <c r="L532" s="4"/>
      <c r="M532" s="4"/>
      <c r="N532" s="4"/>
      <c r="O532" s="4"/>
      <c r="P532" s="4"/>
      <c r="Q532" s="4"/>
      <c r="R532" s="4"/>
      <c r="S532" s="4"/>
      <c r="T532" s="4"/>
      <c r="U532" s="32"/>
      <c r="V532" s="4"/>
      <c r="W532" s="4"/>
      <c r="X532" s="33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spans="1:41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32"/>
      <c r="L533" s="4"/>
      <c r="M533" s="4"/>
      <c r="N533" s="4"/>
      <c r="O533" s="4"/>
      <c r="P533" s="4"/>
      <c r="Q533" s="4"/>
      <c r="R533" s="4"/>
      <c r="S533" s="4"/>
      <c r="T533" s="4"/>
      <c r="U533" s="32"/>
      <c r="V533" s="4"/>
      <c r="W533" s="4"/>
      <c r="X533" s="33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spans="1:41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32"/>
      <c r="L534" s="4"/>
      <c r="M534" s="4"/>
      <c r="N534" s="4"/>
      <c r="O534" s="4"/>
      <c r="P534" s="4"/>
      <c r="Q534" s="4"/>
      <c r="R534" s="4"/>
      <c r="S534" s="4"/>
      <c r="T534" s="4"/>
      <c r="U534" s="32"/>
      <c r="V534" s="4"/>
      <c r="W534" s="4"/>
      <c r="X534" s="33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spans="1:41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32"/>
      <c r="L535" s="4"/>
      <c r="M535" s="4"/>
      <c r="N535" s="4"/>
      <c r="O535" s="4"/>
      <c r="P535" s="4"/>
      <c r="Q535" s="4"/>
      <c r="R535" s="4"/>
      <c r="S535" s="4"/>
      <c r="T535" s="4"/>
      <c r="U535" s="32"/>
      <c r="V535" s="4"/>
      <c r="W535" s="4"/>
      <c r="X535" s="33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spans="1:41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32"/>
      <c r="L536" s="4"/>
      <c r="M536" s="4"/>
      <c r="N536" s="4"/>
      <c r="O536" s="4"/>
      <c r="P536" s="4"/>
      <c r="Q536" s="4"/>
      <c r="R536" s="4"/>
      <c r="S536" s="4"/>
      <c r="T536" s="4"/>
      <c r="U536" s="32"/>
      <c r="V536" s="4"/>
      <c r="W536" s="4"/>
      <c r="X536" s="33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spans="1:41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32"/>
      <c r="L537" s="4"/>
      <c r="M537" s="4"/>
      <c r="N537" s="4"/>
      <c r="O537" s="4"/>
      <c r="P537" s="4"/>
      <c r="Q537" s="4"/>
      <c r="R537" s="4"/>
      <c r="S537" s="4"/>
      <c r="T537" s="4"/>
      <c r="U537" s="32"/>
      <c r="V537" s="4"/>
      <c r="W537" s="4"/>
      <c r="X537" s="33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spans="1:41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32"/>
      <c r="L538" s="4"/>
      <c r="M538" s="4"/>
      <c r="N538" s="4"/>
      <c r="O538" s="4"/>
      <c r="P538" s="4"/>
      <c r="Q538" s="4"/>
      <c r="R538" s="4"/>
      <c r="S538" s="4"/>
      <c r="T538" s="4"/>
      <c r="U538" s="32"/>
      <c r="V538" s="4"/>
      <c r="W538" s="4"/>
      <c r="X538" s="33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spans="1:41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32"/>
      <c r="L539" s="4"/>
      <c r="M539" s="4"/>
      <c r="N539" s="4"/>
      <c r="O539" s="4"/>
      <c r="P539" s="4"/>
      <c r="Q539" s="4"/>
      <c r="R539" s="4"/>
      <c r="S539" s="4"/>
      <c r="T539" s="4"/>
      <c r="U539" s="32"/>
      <c r="V539" s="4"/>
      <c r="W539" s="4"/>
      <c r="X539" s="33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spans="1:41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32"/>
      <c r="L540" s="4"/>
      <c r="M540" s="4"/>
      <c r="N540" s="4"/>
      <c r="O540" s="4"/>
      <c r="P540" s="4"/>
      <c r="Q540" s="4"/>
      <c r="R540" s="4"/>
      <c r="S540" s="4"/>
      <c r="T540" s="4"/>
      <c r="U540" s="32"/>
      <c r="V540" s="4"/>
      <c r="W540" s="4"/>
      <c r="X540" s="33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spans="1: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32"/>
      <c r="L541" s="4"/>
      <c r="M541" s="4"/>
      <c r="N541" s="4"/>
      <c r="O541" s="4"/>
      <c r="P541" s="4"/>
      <c r="Q541" s="4"/>
      <c r="R541" s="4"/>
      <c r="S541" s="4"/>
      <c r="T541" s="4"/>
      <c r="U541" s="32"/>
      <c r="V541" s="4"/>
      <c r="W541" s="4"/>
      <c r="X541" s="33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spans="1:41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32"/>
      <c r="L542" s="4"/>
      <c r="M542" s="4"/>
      <c r="N542" s="4"/>
      <c r="O542" s="4"/>
      <c r="P542" s="4"/>
      <c r="Q542" s="4"/>
      <c r="R542" s="4"/>
      <c r="S542" s="4"/>
      <c r="T542" s="4"/>
      <c r="U542" s="32"/>
      <c r="V542" s="4"/>
      <c r="W542" s="4"/>
      <c r="X542" s="33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spans="1:41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32"/>
      <c r="L543" s="4"/>
      <c r="M543" s="4"/>
      <c r="N543" s="4"/>
      <c r="O543" s="4"/>
      <c r="P543" s="4"/>
      <c r="Q543" s="4"/>
      <c r="R543" s="4"/>
      <c r="S543" s="4"/>
      <c r="T543" s="4"/>
      <c r="U543" s="32"/>
      <c r="V543" s="4"/>
      <c r="W543" s="4"/>
      <c r="X543" s="33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spans="1:41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32"/>
      <c r="L544" s="4"/>
      <c r="M544" s="4"/>
      <c r="N544" s="4"/>
      <c r="O544" s="4"/>
      <c r="P544" s="4"/>
      <c r="Q544" s="4"/>
      <c r="R544" s="4"/>
      <c r="S544" s="4"/>
      <c r="T544" s="4"/>
      <c r="U544" s="32"/>
      <c r="V544" s="4"/>
      <c r="W544" s="4"/>
      <c r="X544" s="33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spans="1:41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32"/>
      <c r="L545" s="4"/>
      <c r="M545" s="4"/>
      <c r="N545" s="4"/>
      <c r="O545" s="4"/>
      <c r="P545" s="4"/>
      <c r="Q545" s="4"/>
      <c r="R545" s="4"/>
      <c r="S545" s="4"/>
      <c r="T545" s="4"/>
      <c r="U545" s="32"/>
      <c r="V545" s="4"/>
      <c r="W545" s="4"/>
      <c r="X545" s="33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spans="1:41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32"/>
      <c r="L546" s="4"/>
      <c r="M546" s="4"/>
      <c r="N546" s="4"/>
      <c r="O546" s="4"/>
      <c r="P546" s="4"/>
      <c r="Q546" s="4"/>
      <c r="R546" s="4"/>
      <c r="S546" s="4"/>
      <c r="T546" s="4"/>
      <c r="U546" s="32"/>
      <c r="V546" s="4"/>
      <c r="W546" s="4"/>
      <c r="X546" s="33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spans="1:41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32"/>
      <c r="L547" s="4"/>
      <c r="M547" s="4"/>
      <c r="N547" s="4"/>
      <c r="O547" s="4"/>
      <c r="P547" s="4"/>
      <c r="Q547" s="4"/>
      <c r="R547" s="4"/>
      <c r="S547" s="4"/>
      <c r="T547" s="4"/>
      <c r="U547" s="32"/>
      <c r="V547" s="4"/>
      <c r="W547" s="4"/>
      <c r="X547" s="33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spans="1:41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32"/>
      <c r="L548" s="4"/>
      <c r="M548" s="4"/>
      <c r="N548" s="4"/>
      <c r="O548" s="4"/>
      <c r="P548" s="4"/>
      <c r="Q548" s="4"/>
      <c r="R548" s="4"/>
      <c r="S548" s="4"/>
      <c r="T548" s="4"/>
      <c r="U548" s="32"/>
      <c r="V548" s="4"/>
      <c r="W548" s="4"/>
      <c r="X548" s="33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spans="1:41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32"/>
      <c r="L549" s="4"/>
      <c r="M549" s="4"/>
      <c r="N549" s="4"/>
      <c r="O549" s="4"/>
      <c r="P549" s="4"/>
      <c r="Q549" s="4"/>
      <c r="R549" s="4"/>
      <c r="S549" s="4"/>
      <c r="T549" s="4"/>
      <c r="U549" s="32"/>
      <c r="V549" s="4"/>
      <c r="W549" s="4"/>
      <c r="X549" s="33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spans="1:41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32"/>
      <c r="L550" s="4"/>
      <c r="M550" s="4"/>
      <c r="N550" s="4"/>
      <c r="O550" s="4"/>
      <c r="P550" s="4"/>
      <c r="Q550" s="4"/>
      <c r="R550" s="4"/>
      <c r="S550" s="4"/>
      <c r="T550" s="4"/>
      <c r="U550" s="32"/>
      <c r="V550" s="4"/>
      <c r="W550" s="4"/>
      <c r="X550" s="33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spans="1:4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32"/>
      <c r="L551" s="4"/>
      <c r="M551" s="4"/>
      <c r="N551" s="4"/>
      <c r="O551" s="4"/>
      <c r="P551" s="4"/>
      <c r="Q551" s="4"/>
      <c r="R551" s="4"/>
      <c r="S551" s="4"/>
      <c r="T551" s="4"/>
      <c r="U551" s="32"/>
      <c r="V551" s="4"/>
      <c r="W551" s="4"/>
      <c r="X551" s="33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spans="1:41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32"/>
      <c r="L552" s="4"/>
      <c r="M552" s="4"/>
      <c r="N552" s="4"/>
      <c r="O552" s="4"/>
      <c r="P552" s="4"/>
      <c r="Q552" s="4"/>
      <c r="R552" s="4"/>
      <c r="S552" s="4"/>
      <c r="T552" s="4"/>
      <c r="U552" s="32"/>
      <c r="V552" s="4"/>
      <c r="W552" s="4"/>
      <c r="X552" s="33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spans="1:41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32"/>
      <c r="L553" s="4"/>
      <c r="M553" s="4"/>
      <c r="N553" s="4"/>
      <c r="O553" s="4"/>
      <c r="P553" s="4"/>
      <c r="Q553" s="4"/>
      <c r="R553" s="4"/>
      <c r="S553" s="4"/>
      <c r="T553" s="4"/>
      <c r="U553" s="32"/>
      <c r="V553" s="4"/>
      <c r="W553" s="4"/>
      <c r="X553" s="33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spans="1:41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32"/>
      <c r="L554" s="4"/>
      <c r="M554" s="4"/>
      <c r="N554" s="4"/>
      <c r="O554" s="4"/>
      <c r="P554" s="4"/>
      <c r="Q554" s="4"/>
      <c r="R554" s="4"/>
      <c r="S554" s="4"/>
      <c r="T554" s="4"/>
      <c r="U554" s="32"/>
      <c r="V554" s="4"/>
      <c r="W554" s="4"/>
      <c r="X554" s="33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spans="1:41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32"/>
      <c r="L555" s="4"/>
      <c r="M555" s="4"/>
      <c r="N555" s="4"/>
      <c r="O555" s="4"/>
      <c r="P555" s="4"/>
      <c r="Q555" s="4"/>
      <c r="R555" s="4"/>
      <c r="S555" s="4"/>
      <c r="T555" s="4"/>
      <c r="U555" s="32"/>
      <c r="V555" s="4"/>
      <c r="W555" s="4"/>
      <c r="X555" s="33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spans="1:41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32"/>
      <c r="L556" s="4"/>
      <c r="M556" s="4"/>
      <c r="N556" s="4"/>
      <c r="O556" s="4"/>
      <c r="P556" s="4"/>
      <c r="Q556" s="4"/>
      <c r="R556" s="4"/>
      <c r="S556" s="4"/>
      <c r="T556" s="4"/>
      <c r="U556" s="32"/>
      <c r="V556" s="4"/>
      <c r="W556" s="4"/>
      <c r="X556" s="33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spans="1:41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32"/>
      <c r="L557" s="4"/>
      <c r="M557" s="4"/>
      <c r="N557" s="4"/>
      <c r="O557" s="4"/>
      <c r="P557" s="4"/>
      <c r="Q557" s="4"/>
      <c r="R557" s="4"/>
      <c r="S557" s="4"/>
      <c r="T557" s="4"/>
      <c r="U557" s="32"/>
      <c r="V557" s="4"/>
      <c r="W557" s="4"/>
      <c r="X557" s="33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spans="1:41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32"/>
      <c r="L558" s="4"/>
      <c r="M558" s="4"/>
      <c r="N558" s="4"/>
      <c r="O558" s="4"/>
      <c r="P558" s="4"/>
      <c r="Q558" s="4"/>
      <c r="R558" s="4"/>
      <c r="S558" s="4"/>
      <c r="T558" s="4"/>
      <c r="U558" s="32"/>
      <c r="V558" s="4"/>
      <c r="W558" s="4"/>
      <c r="X558" s="33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spans="1:41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32"/>
      <c r="L559" s="4"/>
      <c r="M559" s="4"/>
      <c r="N559" s="4"/>
      <c r="O559" s="4"/>
      <c r="P559" s="4"/>
      <c r="Q559" s="4"/>
      <c r="R559" s="4"/>
      <c r="S559" s="4"/>
      <c r="T559" s="4"/>
      <c r="U559" s="32"/>
      <c r="V559" s="4"/>
      <c r="W559" s="4"/>
      <c r="X559" s="33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spans="1:41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32"/>
      <c r="L560" s="4"/>
      <c r="M560" s="4"/>
      <c r="N560" s="4"/>
      <c r="O560" s="4"/>
      <c r="P560" s="4"/>
      <c r="Q560" s="4"/>
      <c r="R560" s="4"/>
      <c r="S560" s="4"/>
      <c r="T560" s="4"/>
      <c r="U560" s="32"/>
      <c r="V560" s="4"/>
      <c r="W560" s="4"/>
      <c r="X560" s="33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spans="1:4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32"/>
      <c r="L561" s="4"/>
      <c r="M561" s="4"/>
      <c r="N561" s="4"/>
      <c r="O561" s="4"/>
      <c r="P561" s="4"/>
      <c r="Q561" s="4"/>
      <c r="R561" s="4"/>
      <c r="S561" s="4"/>
      <c r="T561" s="4"/>
      <c r="U561" s="32"/>
      <c r="V561" s="4"/>
      <c r="W561" s="4"/>
      <c r="X561" s="33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spans="1:41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32"/>
      <c r="L562" s="4"/>
      <c r="M562" s="4"/>
      <c r="N562" s="4"/>
      <c r="O562" s="4"/>
      <c r="P562" s="4"/>
      <c r="Q562" s="4"/>
      <c r="R562" s="4"/>
      <c r="S562" s="4"/>
      <c r="T562" s="4"/>
      <c r="U562" s="32"/>
      <c r="V562" s="4"/>
      <c r="W562" s="4"/>
      <c r="X562" s="33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spans="1:41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32"/>
      <c r="L563" s="4"/>
      <c r="M563" s="4"/>
      <c r="N563" s="4"/>
      <c r="O563" s="4"/>
      <c r="P563" s="4"/>
      <c r="Q563" s="4"/>
      <c r="R563" s="4"/>
      <c r="S563" s="4"/>
      <c r="T563" s="4"/>
      <c r="U563" s="32"/>
      <c r="V563" s="4"/>
      <c r="W563" s="4"/>
      <c r="X563" s="33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spans="1:41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32"/>
      <c r="L564" s="4"/>
      <c r="M564" s="4"/>
      <c r="N564" s="4"/>
      <c r="O564" s="4"/>
      <c r="P564" s="4"/>
      <c r="Q564" s="4"/>
      <c r="R564" s="4"/>
      <c r="S564" s="4"/>
      <c r="T564" s="4"/>
      <c r="U564" s="32"/>
      <c r="V564" s="4"/>
      <c r="W564" s="4"/>
      <c r="X564" s="33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spans="1:41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32"/>
      <c r="L565" s="4"/>
      <c r="M565" s="4"/>
      <c r="N565" s="4"/>
      <c r="O565" s="4"/>
      <c r="P565" s="4"/>
      <c r="Q565" s="4"/>
      <c r="R565" s="4"/>
      <c r="S565" s="4"/>
      <c r="T565" s="4"/>
      <c r="U565" s="32"/>
      <c r="V565" s="4"/>
      <c r="W565" s="4"/>
      <c r="X565" s="33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spans="1:41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32"/>
      <c r="L566" s="4"/>
      <c r="M566" s="4"/>
      <c r="N566" s="4"/>
      <c r="O566" s="4"/>
      <c r="P566" s="4"/>
      <c r="Q566" s="4"/>
      <c r="R566" s="4"/>
      <c r="S566" s="4"/>
      <c r="T566" s="4"/>
      <c r="U566" s="32"/>
      <c r="V566" s="4"/>
      <c r="W566" s="4"/>
      <c r="X566" s="33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spans="1:41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32"/>
      <c r="L567" s="4"/>
      <c r="M567" s="4"/>
      <c r="N567" s="4"/>
      <c r="O567" s="4"/>
      <c r="P567" s="4"/>
      <c r="Q567" s="4"/>
      <c r="R567" s="4"/>
      <c r="S567" s="4"/>
      <c r="T567" s="4"/>
      <c r="U567" s="32"/>
      <c r="V567" s="4"/>
      <c r="W567" s="4"/>
      <c r="X567" s="33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spans="1:41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32"/>
      <c r="L568" s="4"/>
      <c r="M568" s="4"/>
      <c r="N568" s="4"/>
      <c r="O568" s="4"/>
      <c r="P568" s="4"/>
      <c r="Q568" s="4"/>
      <c r="R568" s="4"/>
      <c r="S568" s="4"/>
      <c r="T568" s="4"/>
      <c r="U568" s="32"/>
      <c r="V568" s="4"/>
      <c r="W568" s="4"/>
      <c r="X568" s="33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spans="1:41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32"/>
      <c r="L569" s="4"/>
      <c r="M569" s="4"/>
      <c r="N569" s="4"/>
      <c r="O569" s="4"/>
      <c r="P569" s="4"/>
      <c r="Q569" s="4"/>
      <c r="R569" s="4"/>
      <c r="S569" s="4"/>
      <c r="T569" s="4"/>
      <c r="U569" s="32"/>
      <c r="V569" s="4"/>
      <c r="W569" s="4"/>
      <c r="X569" s="33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spans="1:41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32"/>
      <c r="L570" s="4"/>
      <c r="M570" s="4"/>
      <c r="N570" s="4"/>
      <c r="O570" s="4"/>
      <c r="P570" s="4"/>
      <c r="Q570" s="4"/>
      <c r="R570" s="4"/>
      <c r="S570" s="4"/>
      <c r="T570" s="4"/>
      <c r="U570" s="32"/>
      <c r="V570" s="4"/>
      <c r="W570" s="4"/>
      <c r="X570" s="33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spans="1:4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32"/>
      <c r="L571" s="4"/>
      <c r="M571" s="4"/>
      <c r="N571" s="4"/>
      <c r="O571" s="4"/>
      <c r="P571" s="4"/>
      <c r="Q571" s="4"/>
      <c r="R571" s="4"/>
      <c r="S571" s="4"/>
      <c r="T571" s="4"/>
      <c r="U571" s="32"/>
      <c r="V571" s="4"/>
      <c r="W571" s="4"/>
      <c r="X571" s="33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spans="1:41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32"/>
      <c r="L572" s="4"/>
      <c r="M572" s="4"/>
      <c r="N572" s="4"/>
      <c r="O572" s="4"/>
      <c r="P572" s="4"/>
      <c r="Q572" s="4"/>
      <c r="R572" s="4"/>
      <c r="S572" s="4"/>
      <c r="T572" s="4"/>
      <c r="U572" s="32"/>
      <c r="V572" s="4"/>
      <c r="W572" s="4"/>
      <c r="X572" s="33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spans="1:41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32"/>
      <c r="L573" s="4"/>
      <c r="M573" s="4"/>
      <c r="N573" s="4"/>
      <c r="O573" s="4"/>
      <c r="P573" s="4"/>
      <c r="Q573" s="4"/>
      <c r="R573" s="4"/>
      <c r="S573" s="4"/>
      <c r="T573" s="4"/>
      <c r="U573" s="32"/>
      <c r="V573" s="4"/>
      <c r="W573" s="4"/>
      <c r="X573" s="33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spans="1:41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32"/>
      <c r="L574" s="4"/>
      <c r="M574" s="4"/>
      <c r="N574" s="4"/>
      <c r="O574" s="4"/>
      <c r="P574" s="4"/>
      <c r="Q574" s="4"/>
      <c r="R574" s="4"/>
      <c r="S574" s="4"/>
      <c r="T574" s="4"/>
      <c r="U574" s="32"/>
      <c r="V574" s="4"/>
      <c r="W574" s="4"/>
      <c r="X574" s="33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spans="1:41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32"/>
      <c r="L575" s="4"/>
      <c r="M575" s="4"/>
      <c r="N575" s="4"/>
      <c r="O575" s="4"/>
      <c r="P575" s="4"/>
      <c r="Q575" s="4"/>
      <c r="R575" s="4"/>
      <c r="S575" s="4"/>
      <c r="T575" s="4"/>
      <c r="U575" s="32"/>
      <c r="V575" s="4"/>
      <c r="W575" s="4"/>
      <c r="X575" s="33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spans="1:41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32"/>
      <c r="L576" s="4"/>
      <c r="M576" s="4"/>
      <c r="N576" s="4"/>
      <c r="O576" s="4"/>
      <c r="P576" s="4"/>
      <c r="Q576" s="4"/>
      <c r="R576" s="4"/>
      <c r="S576" s="4"/>
      <c r="T576" s="4"/>
      <c r="U576" s="32"/>
      <c r="V576" s="4"/>
      <c r="W576" s="4"/>
      <c r="X576" s="33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spans="1:41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32"/>
      <c r="L577" s="4"/>
      <c r="M577" s="4"/>
      <c r="N577" s="4"/>
      <c r="O577" s="4"/>
      <c r="P577" s="4"/>
      <c r="Q577" s="4"/>
      <c r="R577" s="4"/>
      <c r="S577" s="4"/>
      <c r="T577" s="4"/>
      <c r="U577" s="32"/>
      <c r="V577" s="4"/>
      <c r="W577" s="4"/>
      <c r="X577" s="33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spans="1:41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32"/>
      <c r="L578" s="4"/>
      <c r="M578" s="4"/>
      <c r="N578" s="4"/>
      <c r="O578" s="4"/>
      <c r="P578" s="4"/>
      <c r="Q578" s="4"/>
      <c r="R578" s="4"/>
      <c r="S578" s="4"/>
      <c r="T578" s="4"/>
      <c r="U578" s="32"/>
      <c r="V578" s="4"/>
      <c r="W578" s="4"/>
      <c r="X578" s="33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spans="1:41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32"/>
      <c r="L579" s="4"/>
      <c r="M579" s="4"/>
      <c r="N579" s="4"/>
      <c r="O579" s="4"/>
      <c r="P579" s="4"/>
      <c r="Q579" s="4"/>
      <c r="R579" s="4"/>
      <c r="S579" s="4"/>
      <c r="T579" s="4"/>
      <c r="U579" s="32"/>
      <c r="V579" s="4"/>
      <c r="W579" s="4"/>
      <c r="X579" s="33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spans="1:41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32"/>
      <c r="L580" s="4"/>
      <c r="M580" s="4"/>
      <c r="N580" s="4"/>
      <c r="O580" s="4"/>
      <c r="P580" s="4"/>
      <c r="Q580" s="4"/>
      <c r="R580" s="4"/>
      <c r="S580" s="4"/>
      <c r="T580" s="4"/>
      <c r="U580" s="32"/>
      <c r="V580" s="4"/>
      <c r="W580" s="4"/>
      <c r="X580" s="33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spans="1:4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32"/>
      <c r="L581" s="4"/>
      <c r="M581" s="4"/>
      <c r="N581" s="4"/>
      <c r="O581" s="4"/>
      <c r="P581" s="4"/>
      <c r="Q581" s="4"/>
      <c r="R581" s="4"/>
      <c r="S581" s="4"/>
      <c r="T581" s="4"/>
      <c r="U581" s="32"/>
      <c r="V581" s="4"/>
      <c r="W581" s="4"/>
      <c r="X581" s="33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spans="1:41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32"/>
      <c r="L582" s="4"/>
      <c r="M582" s="4"/>
      <c r="N582" s="4"/>
      <c r="O582" s="4"/>
      <c r="P582" s="4"/>
      <c r="Q582" s="4"/>
      <c r="R582" s="4"/>
      <c r="S582" s="4"/>
      <c r="T582" s="4"/>
      <c r="U582" s="32"/>
      <c r="V582" s="4"/>
      <c r="W582" s="4"/>
      <c r="X582" s="33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spans="1:41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32"/>
      <c r="L583" s="4"/>
      <c r="M583" s="4"/>
      <c r="N583" s="4"/>
      <c r="O583" s="4"/>
      <c r="P583" s="4"/>
      <c r="Q583" s="4"/>
      <c r="R583" s="4"/>
      <c r="S583" s="4"/>
      <c r="T583" s="4"/>
      <c r="U583" s="32"/>
      <c r="V583" s="4"/>
      <c r="W583" s="4"/>
      <c r="X583" s="33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spans="1:41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32"/>
      <c r="L584" s="4"/>
      <c r="M584" s="4"/>
      <c r="N584" s="4"/>
      <c r="O584" s="4"/>
      <c r="P584" s="4"/>
      <c r="Q584" s="4"/>
      <c r="R584" s="4"/>
      <c r="S584" s="4"/>
      <c r="T584" s="4"/>
      <c r="U584" s="32"/>
      <c r="V584" s="4"/>
      <c r="W584" s="4"/>
      <c r="X584" s="33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spans="1:41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32"/>
      <c r="L585" s="4"/>
      <c r="M585" s="4"/>
      <c r="N585" s="4"/>
      <c r="O585" s="4"/>
      <c r="P585" s="4"/>
      <c r="Q585" s="4"/>
      <c r="R585" s="4"/>
      <c r="S585" s="4"/>
      <c r="T585" s="4"/>
      <c r="U585" s="32"/>
      <c r="V585" s="4"/>
      <c r="W585" s="4"/>
      <c r="X585" s="33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spans="1:41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32"/>
      <c r="L586" s="4"/>
      <c r="M586" s="4"/>
      <c r="N586" s="4"/>
      <c r="O586" s="4"/>
      <c r="P586" s="4"/>
      <c r="Q586" s="4"/>
      <c r="R586" s="4"/>
      <c r="S586" s="4"/>
      <c r="T586" s="4"/>
      <c r="U586" s="32"/>
      <c r="V586" s="4"/>
      <c r="W586" s="4"/>
      <c r="X586" s="33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spans="1:41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32"/>
      <c r="L587" s="4"/>
      <c r="M587" s="4"/>
      <c r="N587" s="4"/>
      <c r="O587" s="4"/>
      <c r="P587" s="4"/>
      <c r="Q587" s="4"/>
      <c r="R587" s="4"/>
      <c r="S587" s="4"/>
      <c r="T587" s="4"/>
      <c r="U587" s="32"/>
      <c r="V587" s="4"/>
      <c r="W587" s="4"/>
      <c r="X587" s="33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spans="1:41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32"/>
      <c r="L588" s="4"/>
      <c r="M588" s="4"/>
      <c r="N588" s="4"/>
      <c r="O588" s="4"/>
      <c r="P588" s="4"/>
      <c r="Q588" s="4"/>
      <c r="R588" s="4"/>
      <c r="S588" s="4"/>
      <c r="T588" s="4"/>
      <c r="U588" s="32"/>
      <c r="V588" s="4"/>
      <c r="W588" s="4"/>
      <c r="X588" s="33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spans="1:41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32"/>
      <c r="L589" s="4"/>
      <c r="M589" s="4"/>
      <c r="N589" s="4"/>
      <c r="O589" s="4"/>
      <c r="P589" s="4"/>
      <c r="Q589" s="4"/>
      <c r="R589" s="4"/>
      <c r="S589" s="4"/>
      <c r="T589" s="4"/>
      <c r="U589" s="32"/>
      <c r="V589" s="4"/>
      <c r="W589" s="4"/>
      <c r="X589" s="33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spans="1:41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32"/>
      <c r="L590" s="4"/>
      <c r="M590" s="4"/>
      <c r="N590" s="4"/>
      <c r="O590" s="4"/>
      <c r="P590" s="4"/>
      <c r="Q590" s="4"/>
      <c r="R590" s="4"/>
      <c r="S590" s="4"/>
      <c r="T590" s="4"/>
      <c r="U590" s="32"/>
      <c r="V590" s="4"/>
      <c r="W590" s="4"/>
      <c r="X590" s="33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spans="1:4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32"/>
      <c r="L591" s="4"/>
      <c r="M591" s="4"/>
      <c r="N591" s="4"/>
      <c r="O591" s="4"/>
      <c r="P591" s="4"/>
      <c r="Q591" s="4"/>
      <c r="R591" s="4"/>
      <c r="S591" s="4"/>
      <c r="T591" s="4"/>
      <c r="U591" s="32"/>
      <c r="V591" s="4"/>
      <c r="W591" s="4"/>
      <c r="X591" s="33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spans="1:41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32"/>
      <c r="L592" s="4"/>
      <c r="M592" s="4"/>
      <c r="N592" s="4"/>
      <c r="O592" s="4"/>
      <c r="P592" s="4"/>
      <c r="Q592" s="4"/>
      <c r="R592" s="4"/>
      <c r="S592" s="4"/>
      <c r="T592" s="4"/>
      <c r="U592" s="32"/>
      <c r="V592" s="4"/>
      <c r="W592" s="4"/>
      <c r="X592" s="33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spans="1:41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32"/>
      <c r="L593" s="4"/>
      <c r="M593" s="4"/>
      <c r="N593" s="4"/>
      <c r="O593" s="4"/>
      <c r="P593" s="4"/>
      <c r="Q593" s="4"/>
      <c r="R593" s="4"/>
      <c r="S593" s="4"/>
      <c r="T593" s="4"/>
      <c r="U593" s="32"/>
      <c r="V593" s="4"/>
      <c r="W593" s="4"/>
      <c r="X593" s="33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spans="1:41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32"/>
      <c r="L594" s="4"/>
      <c r="M594" s="4"/>
      <c r="N594" s="4"/>
      <c r="O594" s="4"/>
      <c r="P594" s="4"/>
      <c r="Q594" s="4"/>
      <c r="R594" s="4"/>
      <c r="S594" s="4"/>
      <c r="T594" s="4"/>
      <c r="U594" s="32"/>
      <c r="V594" s="4"/>
      <c r="W594" s="4"/>
      <c r="X594" s="33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spans="1:41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32"/>
      <c r="L595" s="4"/>
      <c r="M595" s="4"/>
      <c r="N595" s="4"/>
      <c r="O595" s="4"/>
      <c r="P595" s="4"/>
      <c r="Q595" s="4"/>
      <c r="R595" s="4"/>
      <c r="S595" s="4"/>
      <c r="T595" s="4"/>
      <c r="U595" s="32"/>
      <c r="V595" s="4"/>
      <c r="W595" s="4"/>
      <c r="X595" s="33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spans="1:41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32"/>
      <c r="L596" s="4"/>
      <c r="M596" s="4"/>
      <c r="N596" s="4"/>
      <c r="O596" s="4"/>
      <c r="P596" s="4"/>
      <c r="Q596" s="4"/>
      <c r="R596" s="4"/>
      <c r="S596" s="4"/>
      <c r="T596" s="4"/>
      <c r="U596" s="32"/>
      <c r="V596" s="4"/>
      <c r="W596" s="4"/>
      <c r="X596" s="33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spans="1:41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32"/>
      <c r="L597" s="4"/>
      <c r="M597" s="4"/>
      <c r="N597" s="4"/>
      <c r="O597" s="4"/>
      <c r="P597" s="4"/>
      <c r="Q597" s="4"/>
      <c r="R597" s="4"/>
      <c r="S597" s="4"/>
      <c r="T597" s="4"/>
      <c r="U597" s="32"/>
      <c r="V597" s="4"/>
      <c r="W597" s="4"/>
      <c r="X597" s="33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spans="1:41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32"/>
      <c r="L598" s="4"/>
      <c r="M598" s="4"/>
      <c r="N598" s="4"/>
      <c r="O598" s="4"/>
      <c r="P598" s="4"/>
      <c r="Q598" s="4"/>
      <c r="R598" s="4"/>
      <c r="S598" s="4"/>
      <c r="T598" s="4"/>
      <c r="U598" s="32"/>
      <c r="V598" s="4"/>
      <c r="W598" s="4"/>
      <c r="X598" s="33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spans="1:41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32"/>
      <c r="L599" s="4"/>
      <c r="M599" s="4"/>
      <c r="N599" s="4"/>
      <c r="O599" s="4"/>
      <c r="P599" s="4"/>
      <c r="Q599" s="4"/>
      <c r="R599" s="4"/>
      <c r="S599" s="4"/>
      <c r="T599" s="4"/>
      <c r="U599" s="32"/>
      <c r="V599" s="4"/>
      <c r="W599" s="4"/>
      <c r="X599" s="33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spans="1:41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32"/>
      <c r="L600" s="4"/>
      <c r="M600" s="4"/>
      <c r="N600" s="4"/>
      <c r="O600" s="4"/>
      <c r="P600" s="4"/>
      <c r="Q600" s="4"/>
      <c r="R600" s="4"/>
      <c r="S600" s="4"/>
      <c r="T600" s="4"/>
      <c r="U600" s="32"/>
      <c r="V600" s="4"/>
      <c r="W600" s="4"/>
      <c r="X600" s="33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spans="1:4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32"/>
      <c r="L601" s="4"/>
      <c r="M601" s="4"/>
      <c r="N601" s="4"/>
      <c r="O601" s="4"/>
      <c r="P601" s="4"/>
      <c r="Q601" s="4"/>
      <c r="R601" s="4"/>
      <c r="S601" s="4"/>
      <c r="T601" s="4"/>
      <c r="U601" s="32"/>
      <c r="V601" s="4"/>
      <c r="W601" s="4"/>
      <c r="X601" s="33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spans="1:41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32"/>
      <c r="L602" s="4"/>
      <c r="M602" s="4"/>
      <c r="N602" s="4"/>
      <c r="O602" s="4"/>
      <c r="P602" s="4"/>
      <c r="Q602" s="4"/>
      <c r="R602" s="4"/>
      <c r="S602" s="4"/>
      <c r="T602" s="4"/>
      <c r="U602" s="32"/>
      <c r="V602" s="4"/>
      <c r="W602" s="4"/>
      <c r="X602" s="33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spans="1:41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32"/>
      <c r="L603" s="4"/>
      <c r="M603" s="4"/>
      <c r="N603" s="4"/>
      <c r="O603" s="4"/>
      <c r="P603" s="4"/>
      <c r="Q603" s="4"/>
      <c r="R603" s="4"/>
      <c r="S603" s="4"/>
      <c r="T603" s="4"/>
      <c r="U603" s="32"/>
      <c r="V603" s="4"/>
      <c r="W603" s="4"/>
      <c r="X603" s="33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spans="1:41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32"/>
      <c r="L604" s="4"/>
      <c r="M604" s="4"/>
      <c r="N604" s="4"/>
      <c r="O604" s="4"/>
      <c r="P604" s="4"/>
      <c r="Q604" s="4"/>
      <c r="R604" s="4"/>
      <c r="S604" s="4"/>
      <c r="T604" s="4"/>
      <c r="U604" s="32"/>
      <c r="V604" s="4"/>
      <c r="W604" s="4"/>
      <c r="X604" s="33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spans="1:41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32"/>
      <c r="L605" s="4"/>
      <c r="M605" s="4"/>
      <c r="N605" s="4"/>
      <c r="O605" s="4"/>
      <c r="P605" s="4"/>
      <c r="Q605" s="4"/>
      <c r="R605" s="4"/>
      <c r="S605" s="4"/>
      <c r="T605" s="4"/>
      <c r="U605" s="32"/>
      <c r="V605" s="4"/>
      <c r="W605" s="4"/>
      <c r="X605" s="33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spans="1:41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32"/>
      <c r="L606" s="4"/>
      <c r="M606" s="4"/>
      <c r="N606" s="4"/>
      <c r="O606" s="4"/>
      <c r="P606" s="4"/>
      <c r="Q606" s="4"/>
      <c r="R606" s="4"/>
      <c r="S606" s="4"/>
      <c r="T606" s="4"/>
      <c r="U606" s="32"/>
      <c r="V606" s="4"/>
      <c r="W606" s="4"/>
      <c r="X606" s="33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spans="1:41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32"/>
      <c r="L607" s="4"/>
      <c r="M607" s="4"/>
      <c r="N607" s="4"/>
      <c r="O607" s="4"/>
      <c r="P607" s="4"/>
      <c r="Q607" s="4"/>
      <c r="R607" s="4"/>
      <c r="S607" s="4"/>
      <c r="T607" s="4"/>
      <c r="U607" s="32"/>
      <c r="V607" s="4"/>
      <c r="W607" s="4"/>
      <c r="X607" s="33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spans="1:41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32"/>
      <c r="L608" s="4"/>
      <c r="M608" s="4"/>
      <c r="N608" s="4"/>
      <c r="O608" s="4"/>
      <c r="P608" s="4"/>
      <c r="Q608" s="4"/>
      <c r="R608" s="4"/>
      <c r="S608" s="4"/>
      <c r="T608" s="4"/>
      <c r="U608" s="32"/>
      <c r="V608" s="4"/>
      <c r="W608" s="4"/>
      <c r="X608" s="33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spans="1:41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32"/>
      <c r="L609" s="4"/>
      <c r="M609" s="4"/>
      <c r="N609" s="4"/>
      <c r="O609" s="4"/>
      <c r="P609" s="4"/>
      <c r="Q609" s="4"/>
      <c r="R609" s="4"/>
      <c r="S609" s="4"/>
      <c r="T609" s="4"/>
      <c r="U609" s="32"/>
      <c r="V609" s="4"/>
      <c r="W609" s="4"/>
      <c r="X609" s="33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spans="1:41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32"/>
      <c r="L610" s="4"/>
      <c r="M610" s="4"/>
      <c r="N610" s="4"/>
      <c r="O610" s="4"/>
      <c r="P610" s="4"/>
      <c r="Q610" s="4"/>
      <c r="R610" s="4"/>
      <c r="S610" s="4"/>
      <c r="T610" s="4"/>
      <c r="U610" s="32"/>
      <c r="V610" s="4"/>
      <c r="W610" s="4"/>
      <c r="X610" s="33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spans="1:4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32"/>
      <c r="L611" s="4"/>
      <c r="M611" s="4"/>
      <c r="N611" s="4"/>
      <c r="O611" s="4"/>
      <c r="P611" s="4"/>
      <c r="Q611" s="4"/>
      <c r="R611" s="4"/>
      <c r="S611" s="4"/>
      <c r="T611" s="4"/>
      <c r="U611" s="32"/>
      <c r="V611" s="4"/>
      <c r="W611" s="4"/>
      <c r="X611" s="33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spans="1:41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32"/>
      <c r="L612" s="4"/>
      <c r="M612" s="4"/>
      <c r="N612" s="4"/>
      <c r="O612" s="4"/>
      <c r="P612" s="4"/>
      <c r="Q612" s="4"/>
      <c r="R612" s="4"/>
      <c r="S612" s="4"/>
      <c r="T612" s="4"/>
      <c r="U612" s="32"/>
      <c r="V612" s="4"/>
      <c r="W612" s="4"/>
      <c r="X612" s="33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spans="1:41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32"/>
      <c r="L613" s="4"/>
      <c r="M613" s="4"/>
      <c r="N613" s="4"/>
      <c r="O613" s="4"/>
      <c r="P613" s="4"/>
      <c r="Q613" s="4"/>
      <c r="R613" s="4"/>
      <c r="S613" s="4"/>
      <c r="T613" s="4"/>
      <c r="U613" s="32"/>
      <c r="V613" s="4"/>
      <c r="W613" s="4"/>
      <c r="X613" s="33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spans="1:41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32"/>
      <c r="L614" s="4"/>
      <c r="M614" s="4"/>
      <c r="N614" s="4"/>
      <c r="O614" s="4"/>
      <c r="P614" s="4"/>
      <c r="Q614" s="4"/>
      <c r="R614" s="4"/>
      <c r="S614" s="4"/>
      <c r="T614" s="4"/>
      <c r="U614" s="32"/>
      <c r="V614" s="4"/>
      <c r="W614" s="4"/>
      <c r="X614" s="33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spans="1:41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32"/>
      <c r="L615" s="4"/>
      <c r="M615" s="4"/>
      <c r="N615" s="4"/>
      <c r="O615" s="4"/>
      <c r="P615" s="4"/>
      <c r="Q615" s="4"/>
      <c r="R615" s="4"/>
      <c r="S615" s="4"/>
      <c r="T615" s="4"/>
      <c r="U615" s="32"/>
      <c r="V615" s="4"/>
      <c r="W615" s="4"/>
      <c r="X615" s="33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spans="1:41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32"/>
      <c r="L616" s="4"/>
      <c r="M616" s="4"/>
      <c r="N616" s="4"/>
      <c r="O616" s="4"/>
      <c r="P616" s="4"/>
      <c r="Q616" s="4"/>
      <c r="R616" s="4"/>
      <c r="S616" s="4"/>
      <c r="T616" s="4"/>
      <c r="U616" s="32"/>
      <c r="V616" s="4"/>
      <c r="W616" s="4"/>
      <c r="X616" s="33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spans="1:41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32"/>
      <c r="L617" s="4"/>
      <c r="M617" s="4"/>
      <c r="N617" s="4"/>
      <c r="O617" s="4"/>
      <c r="P617" s="4"/>
      <c r="Q617" s="4"/>
      <c r="R617" s="4"/>
      <c r="S617" s="4"/>
      <c r="T617" s="4"/>
      <c r="U617" s="32"/>
      <c r="V617" s="4"/>
      <c r="W617" s="4"/>
      <c r="X617" s="33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spans="1:41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32"/>
      <c r="L618" s="4"/>
      <c r="M618" s="4"/>
      <c r="N618" s="4"/>
      <c r="O618" s="4"/>
      <c r="P618" s="4"/>
      <c r="Q618" s="4"/>
      <c r="R618" s="4"/>
      <c r="S618" s="4"/>
      <c r="T618" s="4"/>
      <c r="U618" s="32"/>
      <c r="V618" s="4"/>
      <c r="W618" s="4"/>
      <c r="X618" s="33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spans="1:41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32"/>
      <c r="L619" s="4"/>
      <c r="M619" s="4"/>
      <c r="N619" s="4"/>
      <c r="O619" s="4"/>
      <c r="P619" s="4"/>
      <c r="Q619" s="4"/>
      <c r="R619" s="4"/>
      <c r="S619" s="4"/>
      <c r="T619" s="4"/>
      <c r="U619" s="32"/>
      <c r="V619" s="4"/>
      <c r="W619" s="4"/>
      <c r="X619" s="33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spans="1:41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32"/>
      <c r="L620" s="4"/>
      <c r="M620" s="4"/>
      <c r="N620" s="4"/>
      <c r="O620" s="4"/>
      <c r="P620" s="4"/>
      <c r="Q620" s="4"/>
      <c r="R620" s="4"/>
      <c r="S620" s="4"/>
      <c r="T620" s="4"/>
      <c r="U620" s="32"/>
      <c r="V620" s="4"/>
      <c r="W620" s="4"/>
      <c r="X620" s="33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spans="1:4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32"/>
      <c r="L621" s="4"/>
      <c r="M621" s="4"/>
      <c r="N621" s="4"/>
      <c r="O621" s="4"/>
      <c r="P621" s="4"/>
      <c r="Q621" s="4"/>
      <c r="R621" s="4"/>
      <c r="S621" s="4"/>
      <c r="T621" s="4"/>
      <c r="U621" s="32"/>
      <c r="V621" s="4"/>
      <c r="W621" s="4"/>
      <c r="X621" s="33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spans="1:41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32"/>
      <c r="L622" s="4"/>
      <c r="M622" s="4"/>
      <c r="N622" s="4"/>
      <c r="O622" s="4"/>
      <c r="P622" s="4"/>
      <c r="Q622" s="4"/>
      <c r="R622" s="4"/>
      <c r="S622" s="4"/>
      <c r="T622" s="4"/>
      <c r="U622" s="32"/>
      <c r="V622" s="4"/>
      <c r="W622" s="4"/>
      <c r="X622" s="33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spans="1:41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32"/>
      <c r="L623" s="4"/>
      <c r="M623" s="4"/>
      <c r="N623" s="4"/>
      <c r="O623" s="4"/>
      <c r="P623" s="4"/>
      <c r="Q623" s="4"/>
      <c r="R623" s="4"/>
      <c r="S623" s="4"/>
      <c r="T623" s="4"/>
      <c r="U623" s="32"/>
      <c r="V623" s="4"/>
      <c r="W623" s="4"/>
      <c r="X623" s="33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spans="1:41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32"/>
      <c r="L624" s="4"/>
      <c r="M624" s="4"/>
      <c r="N624" s="4"/>
      <c r="O624" s="4"/>
      <c r="P624" s="4"/>
      <c r="Q624" s="4"/>
      <c r="R624" s="4"/>
      <c r="S624" s="4"/>
      <c r="T624" s="4"/>
      <c r="U624" s="32"/>
      <c r="V624" s="4"/>
      <c r="W624" s="4"/>
      <c r="X624" s="33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spans="1:41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32"/>
      <c r="L625" s="4"/>
      <c r="M625" s="4"/>
      <c r="N625" s="4"/>
      <c r="O625" s="4"/>
      <c r="P625" s="4"/>
      <c r="Q625" s="4"/>
      <c r="R625" s="4"/>
      <c r="S625" s="4"/>
      <c r="T625" s="4"/>
      <c r="U625" s="32"/>
      <c r="V625" s="4"/>
      <c r="W625" s="4"/>
      <c r="X625" s="33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spans="1:41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32"/>
      <c r="L626" s="4"/>
      <c r="M626" s="4"/>
      <c r="N626" s="4"/>
      <c r="O626" s="4"/>
      <c r="P626" s="4"/>
      <c r="Q626" s="4"/>
      <c r="R626" s="4"/>
      <c r="S626" s="4"/>
      <c r="T626" s="4"/>
      <c r="U626" s="32"/>
      <c r="V626" s="4"/>
      <c r="W626" s="4"/>
      <c r="X626" s="33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spans="1:41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32"/>
      <c r="L627" s="4"/>
      <c r="M627" s="4"/>
      <c r="N627" s="4"/>
      <c r="O627" s="4"/>
      <c r="P627" s="4"/>
      <c r="Q627" s="4"/>
      <c r="R627" s="4"/>
      <c r="S627" s="4"/>
      <c r="T627" s="4"/>
      <c r="U627" s="32"/>
      <c r="V627" s="4"/>
      <c r="W627" s="4"/>
      <c r="X627" s="33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spans="1:41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32"/>
      <c r="L628" s="4"/>
      <c r="M628" s="4"/>
      <c r="N628" s="4"/>
      <c r="O628" s="4"/>
      <c r="P628" s="4"/>
      <c r="Q628" s="4"/>
      <c r="R628" s="4"/>
      <c r="S628" s="4"/>
      <c r="T628" s="4"/>
      <c r="U628" s="32"/>
      <c r="V628" s="4"/>
      <c r="W628" s="4"/>
      <c r="X628" s="33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spans="1:41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32"/>
      <c r="L629" s="4"/>
      <c r="M629" s="4"/>
      <c r="N629" s="4"/>
      <c r="O629" s="4"/>
      <c r="P629" s="4"/>
      <c r="Q629" s="4"/>
      <c r="R629" s="4"/>
      <c r="S629" s="4"/>
      <c r="T629" s="4"/>
      <c r="U629" s="32"/>
      <c r="V629" s="4"/>
      <c r="W629" s="4"/>
      <c r="X629" s="33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spans="1:41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32"/>
      <c r="L630" s="4"/>
      <c r="M630" s="4"/>
      <c r="N630" s="4"/>
      <c r="O630" s="4"/>
      <c r="P630" s="4"/>
      <c r="Q630" s="4"/>
      <c r="R630" s="4"/>
      <c r="S630" s="4"/>
      <c r="T630" s="4"/>
      <c r="U630" s="32"/>
      <c r="V630" s="4"/>
      <c r="W630" s="4"/>
      <c r="X630" s="33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spans="1:4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32"/>
      <c r="L631" s="4"/>
      <c r="M631" s="4"/>
      <c r="N631" s="4"/>
      <c r="O631" s="4"/>
      <c r="P631" s="4"/>
      <c r="Q631" s="4"/>
      <c r="R631" s="4"/>
      <c r="S631" s="4"/>
      <c r="T631" s="4"/>
      <c r="U631" s="32"/>
      <c r="V631" s="4"/>
      <c r="W631" s="4"/>
      <c r="X631" s="33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spans="1:41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32"/>
      <c r="L632" s="4"/>
      <c r="M632" s="4"/>
      <c r="N632" s="4"/>
      <c r="O632" s="4"/>
      <c r="P632" s="4"/>
      <c r="Q632" s="4"/>
      <c r="R632" s="4"/>
      <c r="S632" s="4"/>
      <c r="T632" s="4"/>
      <c r="U632" s="32"/>
      <c r="V632" s="4"/>
      <c r="W632" s="4"/>
      <c r="X632" s="33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spans="1:41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32"/>
      <c r="L633" s="4"/>
      <c r="M633" s="4"/>
      <c r="N633" s="4"/>
      <c r="O633" s="4"/>
      <c r="P633" s="4"/>
      <c r="Q633" s="4"/>
      <c r="R633" s="4"/>
      <c r="S633" s="4"/>
      <c r="T633" s="4"/>
      <c r="U633" s="32"/>
      <c r="V633" s="4"/>
      <c r="W633" s="4"/>
      <c r="X633" s="33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spans="1:41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32"/>
      <c r="L634" s="4"/>
      <c r="M634" s="4"/>
      <c r="N634" s="4"/>
      <c r="O634" s="4"/>
      <c r="P634" s="4"/>
      <c r="Q634" s="4"/>
      <c r="R634" s="4"/>
      <c r="S634" s="4"/>
      <c r="T634" s="4"/>
      <c r="U634" s="32"/>
      <c r="V634" s="4"/>
      <c r="W634" s="4"/>
      <c r="X634" s="33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spans="1:41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32"/>
      <c r="L635" s="4"/>
      <c r="M635" s="4"/>
      <c r="N635" s="4"/>
      <c r="O635" s="4"/>
      <c r="P635" s="4"/>
      <c r="Q635" s="4"/>
      <c r="R635" s="4"/>
      <c r="S635" s="4"/>
      <c r="T635" s="4"/>
      <c r="U635" s="32"/>
      <c r="V635" s="4"/>
      <c r="W635" s="4"/>
      <c r="X635" s="33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spans="1:41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32"/>
      <c r="L636" s="4"/>
      <c r="M636" s="4"/>
      <c r="N636" s="4"/>
      <c r="O636" s="4"/>
      <c r="P636" s="4"/>
      <c r="Q636" s="4"/>
      <c r="R636" s="4"/>
      <c r="S636" s="4"/>
      <c r="T636" s="4"/>
      <c r="U636" s="32"/>
      <c r="V636" s="4"/>
      <c r="W636" s="4"/>
      <c r="X636" s="33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spans="1:41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32"/>
      <c r="L637" s="4"/>
      <c r="M637" s="4"/>
      <c r="N637" s="4"/>
      <c r="O637" s="4"/>
      <c r="P637" s="4"/>
      <c r="Q637" s="4"/>
      <c r="R637" s="4"/>
      <c r="S637" s="4"/>
      <c r="T637" s="4"/>
      <c r="U637" s="32"/>
      <c r="V637" s="4"/>
      <c r="W637" s="4"/>
      <c r="X637" s="33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spans="1:41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32"/>
      <c r="L638" s="4"/>
      <c r="M638" s="4"/>
      <c r="N638" s="4"/>
      <c r="O638" s="4"/>
      <c r="P638" s="4"/>
      <c r="Q638" s="4"/>
      <c r="R638" s="4"/>
      <c r="S638" s="4"/>
      <c r="T638" s="4"/>
      <c r="U638" s="32"/>
      <c r="V638" s="4"/>
      <c r="W638" s="4"/>
      <c r="X638" s="33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spans="1:41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32"/>
      <c r="L639" s="4"/>
      <c r="M639" s="4"/>
      <c r="N639" s="4"/>
      <c r="O639" s="4"/>
      <c r="P639" s="4"/>
      <c r="Q639" s="4"/>
      <c r="R639" s="4"/>
      <c r="S639" s="4"/>
      <c r="T639" s="4"/>
      <c r="U639" s="32"/>
      <c r="V639" s="4"/>
      <c r="W639" s="4"/>
      <c r="X639" s="33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spans="1:41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32"/>
      <c r="L640" s="4"/>
      <c r="M640" s="4"/>
      <c r="N640" s="4"/>
      <c r="O640" s="4"/>
      <c r="P640" s="4"/>
      <c r="Q640" s="4"/>
      <c r="R640" s="4"/>
      <c r="S640" s="4"/>
      <c r="T640" s="4"/>
      <c r="U640" s="32"/>
      <c r="V640" s="4"/>
      <c r="W640" s="4"/>
      <c r="X640" s="33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spans="1: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32"/>
      <c r="L641" s="4"/>
      <c r="M641" s="4"/>
      <c r="N641" s="4"/>
      <c r="O641" s="4"/>
      <c r="P641" s="4"/>
      <c r="Q641" s="4"/>
      <c r="R641" s="4"/>
      <c r="S641" s="4"/>
      <c r="T641" s="4"/>
      <c r="U641" s="32"/>
      <c r="V641" s="4"/>
      <c r="W641" s="4"/>
      <c r="X641" s="33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spans="1:41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32"/>
      <c r="L642" s="4"/>
      <c r="M642" s="4"/>
      <c r="N642" s="4"/>
      <c r="O642" s="4"/>
      <c r="P642" s="4"/>
      <c r="Q642" s="4"/>
      <c r="R642" s="4"/>
      <c r="S642" s="4"/>
      <c r="T642" s="4"/>
      <c r="U642" s="32"/>
      <c r="V642" s="4"/>
      <c r="W642" s="4"/>
      <c r="X642" s="33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spans="1:41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32"/>
      <c r="L643" s="4"/>
      <c r="M643" s="4"/>
      <c r="N643" s="4"/>
      <c r="O643" s="4"/>
      <c r="P643" s="4"/>
      <c r="Q643" s="4"/>
      <c r="R643" s="4"/>
      <c r="S643" s="4"/>
      <c r="T643" s="4"/>
      <c r="U643" s="32"/>
      <c r="V643" s="4"/>
      <c r="W643" s="4"/>
      <c r="X643" s="33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spans="1:41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32"/>
      <c r="L644" s="4"/>
      <c r="M644" s="4"/>
      <c r="N644" s="4"/>
      <c r="O644" s="4"/>
      <c r="P644" s="4"/>
      <c r="Q644" s="4"/>
      <c r="R644" s="4"/>
      <c r="S644" s="4"/>
      <c r="T644" s="4"/>
      <c r="U644" s="32"/>
      <c r="V644" s="4"/>
      <c r="W644" s="4"/>
      <c r="X644" s="33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spans="1:41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32"/>
      <c r="L645" s="4"/>
      <c r="M645" s="4"/>
      <c r="N645" s="4"/>
      <c r="O645" s="4"/>
      <c r="P645" s="4"/>
      <c r="Q645" s="4"/>
      <c r="R645" s="4"/>
      <c r="S645" s="4"/>
      <c r="T645" s="4"/>
      <c r="U645" s="32"/>
      <c r="V645" s="4"/>
      <c r="W645" s="4"/>
      <c r="X645" s="33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spans="1:41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32"/>
      <c r="L646" s="4"/>
      <c r="M646" s="4"/>
      <c r="N646" s="4"/>
      <c r="O646" s="4"/>
      <c r="P646" s="4"/>
      <c r="Q646" s="4"/>
      <c r="R646" s="4"/>
      <c r="S646" s="4"/>
      <c r="T646" s="4"/>
      <c r="U646" s="32"/>
      <c r="V646" s="4"/>
      <c r="W646" s="4"/>
      <c r="X646" s="33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spans="1:41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32"/>
      <c r="L647" s="4"/>
      <c r="M647" s="4"/>
      <c r="N647" s="4"/>
      <c r="O647" s="4"/>
      <c r="P647" s="4"/>
      <c r="Q647" s="4"/>
      <c r="R647" s="4"/>
      <c r="S647" s="4"/>
      <c r="T647" s="4"/>
      <c r="U647" s="32"/>
      <c r="V647" s="4"/>
      <c r="W647" s="4"/>
      <c r="X647" s="33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spans="1:41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32"/>
      <c r="L648" s="4"/>
      <c r="M648" s="4"/>
      <c r="N648" s="4"/>
      <c r="O648" s="4"/>
      <c r="P648" s="4"/>
      <c r="Q648" s="4"/>
      <c r="R648" s="4"/>
      <c r="S648" s="4"/>
      <c r="T648" s="4"/>
      <c r="U648" s="32"/>
      <c r="V648" s="4"/>
      <c r="W648" s="4"/>
      <c r="X648" s="33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spans="1:41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32"/>
      <c r="L649" s="4"/>
      <c r="M649" s="4"/>
      <c r="N649" s="4"/>
      <c r="O649" s="4"/>
      <c r="P649" s="4"/>
      <c r="Q649" s="4"/>
      <c r="R649" s="4"/>
      <c r="S649" s="4"/>
      <c r="T649" s="4"/>
      <c r="U649" s="32"/>
      <c r="V649" s="4"/>
      <c r="W649" s="4"/>
      <c r="X649" s="33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spans="1:41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32"/>
      <c r="L650" s="4"/>
      <c r="M650" s="4"/>
      <c r="N650" s="4"/>
      <c r="O650" s="4"/>
      <c r="P650" s="4"/>
      <c r="Q650" s="4"/>
      <c r="R650" s="4"/>
      <c r="S650" s="4"/>
      <c r="T650" s="4"/>
      <c r="U650" s="32"/>
      <c r="V650" s="4"/>
      <c r="W650" s="4"/>
      <c r="X650" s="33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spans="1:4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32"/>
      <c r="L651" s="4"/>
      <c r="M651" s="4"/>
      <c r="N651" s="4"/>
      <c r="O651" s="4"/>
      <c r="P651" s="4"/>
      <c r="Q651" s="4"/>
      <c r="R651" s="4"/>
      <c r="S651" s="4"/>
      <c r="T651" s="4"/>
      <c r="U651" s="32"/>
      <c r="V651" s="4"/>
      <c r="W651" s="4"/>
      <c r="X651" s="33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spans="1:41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32"/>
      <c r="L652" s="4"/>
      <c r="M652" s="4"/>
      <c r="N652" s="4"/>
      <c r="O652" s="4"/>
      <c r="P652" s="4"/>
      <c r="Q652" s="4"/>
      <c r="R652" s="4"/>
      <c r="S652" s="4"/>
      <c r="T652" s="4"/>
      <c r="U652" s="32"/>
      <c r="V652" s="4"/>
      <c r="W652" s="4"/>
      <c r="X652" s="33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spans="1:41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32"/>
      <c r="L653" s="4"/>
      <c r="M653" s="4"/>
      <c r="N653" s="4"/>
      <c r="O653" s="4"/>
      <c r="P653" s="4"/>
      <c r="Q653" s="4"/>
      <c r="R653" s="4"/>
      <c r="S653" s="4"/>
      <c r="T653" s="4"/>
      <c r="U653" s="32"/>
      <c r="V653" s="4"/>
      <c r="W653" s="4"/>
      <c r="X653" s="33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spans="1:41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32"/>
      <c r="L654" s="4"/>
      <c r="M654" s="4"/>
      <c r="N654" s="4"/>
      <c r="O654" s="4"/>
      <c r="P654" s="4"/>
      <c r="Q654" s="4"/>
      <c r="R654" s="4"/>
      <c r="S654" s="4"/>
      <c r="T654" s="4"/>
      <c r="U654" s="32"/>
      <c r="V654" s="4"/>
      <c r="W654" s="4"/>
      <c r="X654" s="33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spans="1:41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32"/>
      <c r="L655" s="4"/>
      <c r="M655" s="4"/>
      <c r="N655" s="4"/>
      <c r="O655" s="4"/>
      <c r="P655" s="4"/>
      <c r="Q655" s="4"/>
      <c r="R655" s="4"/>
      <c r="S655" s="4"/>
      <c r="T655" s="4"/>
      <c r="U655" s="32"/>
      <c r="V655" s="4"/>
      <c r="W655" s="4"/>
      <c r="X655" s="33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spans="1:41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32"/>
      <c r="L656" s="4"/>
      <c r="M656" s="4"/>
      <c r="N656" s="4"/>
      <c r="O656" s="4"/>
      <c r="P656" s="4"/>
      <c r="Q656" s="4"/>
      <c r="R656" s="4"/>
      <c r="S656" s="4"/>
      <c r="T656" s="4"/>
      <c r="U656" s="32"/>
      <c r="V656" s="4"/>
      <c r="W656" s="4"/>
      <c r="X656" s="33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spans="1:41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32"/>
      <c r="L657" s="4"/>
      <c r="M657" s="4"/>
      <c r="N657" s="4"/>
      <c r="O657" s="4"/>
      <c r="P657" s="4"/>
      <c r="Q657" s="4"/>
      <c r="R657" s="4"/>
      <c r="S657" s="4"/>
      <c r="T657" s="4"/>
      <c r="U657" s="32"/>
      <c r="V657" s="4"/>
      <c r="W657" s="4"/>
      <c r="X657" s="33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spans="1:41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32"/>
      <c r="L658" s="4"/>
      <c r="M658" s="4"/>
      <c r="N658" s="4"/>
      <c r="O658" s="4"/>
      <c r="P658" s="4"/>
      <c r="Q658" s="4"/>
      <c r="R658" s="4"/>
      <c r="S658" s="4"/>
      <c r="T658" s="4"/>
      <c r="U658" s="32"/>
      <c r="V658" s="4"/>
      <c r="W658" s="4"/>
      <c r="X658" s="33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spans="1:41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32"/>
      <c r="L659" s="4"/>
      <c r="M659" s="4"/>
      <c r="N659" s="4"/>
      <c r="O659" s="4"/>
      <c r="P659" s="4"/>
      <c r="Q659" s="4"/>
      <c r="R659" s="4"/>
      <c r="S659" s="4"/>
      <c r="T659" s="4"/>
      <c r="U659" s="32"/>
      <c r="V659" s="4"/>
      <c r="W659" s="4"/>
      <c r="X659" s="33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spans="1:41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32"/>
      <c r="L660" s="4"/>
      <c r="M660" s="4"/>
      <c r="N660" s="4"/>
      <c r="O660" s="4"/>
      <c r="P660" s="4"/>
      <c r="Q660" s="4"/>
      <c r="R660" s="4"/>
      <c r="S660" s="4"/>
      <c r="T660" s="4"/>
      <c r="U660" s="32"/>
      <c r="V660" s="4"/>
      <c r="W660" s="4"/>
      <c r="X660" s="33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spans="1:4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32"/>
      <c r="L661" s="4"/>
      <c r="M661" s="4"/>
      <c r="N661" s="4"/>
      <c r="O661" s="4"/>
      <c r="P661" s="4"/>
      <c r="Q661" s="4"/>
      <c r="R661" s="4"/>
      <c r="S661" s="4"/>
      <c r="T661" s="4"/>
      <c r="U661" s="32"/>
      <c r="V661" s="4"/>
      <c r="W661" s="4"/>
      <c r="X661" s="33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spans="1:41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32"/>
      <c r="L662" s="4"/>
      <c r="M662" s="4"/>
      <c r="N662" s="4"/>
      <c r="O662" s="4"/>
      <c r="P662" s="4"/>
      <c r="Q662" s="4"/>
      <c r="R662" s="4"/>
      <c r="S662" s="4"/>
      <c r="T662" s="4"/>
      <c r="U662" s="32"/>
      <c r="V662" s="4"/>
      <c r="W662" s="4"/>
      <c r="X662" s="33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spans="1:41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32"/>
      <c r="L663" s="4"/>
      <c r="M663" s="4"/>
      <c r="N663" s="4"/>
      <c r="O663" s="4"/>
      <c r="P663" s="4"/>
      <c r="Q663" s="4"/>
      <c r="R663" s="4"/>
      <c r="S663" s="4"/>
      <c r="T663" s="4"/>
      <c r="U663" s="32"/>
      <c r="V663" s="4"/>
      <c r="W663" s="4"/>
      <c r="X663" s="33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spans="1:41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32"/>
      <c r="L664" s="4"/>
      <c r="M664" s="4"/>
      <c r="N664" s="4"/>
      <c r="O664" s="4"/>
      <c r="P664" s="4"/>
      <c r="Q664" s="4"/>
      <c r="R664" s="4"/>
      <c r="S664" s="4"/>
      <c r="T664" s="4"/>
      <c r="U664" s="32"/>
      <c r="V664" s="4"/>
      <c r="W664" s="4"/>
      <c r="X664" s="33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spans="1:41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32"/>
      <c r="L665" s="4"/>
      <c r="M665" s="4"/>
      <c r="N665" s="4"/>
      <c r="O665" s="4"/>
      <c r="P665" s="4"/>
      <c r="Q665" s="4"/>
      <c r="R665" s="4"/>
      <c r="S665" s="4"/>
      <c r="T665" s="4"/>
      <c r="U665" s="32"/>
      <c r="V665" s="4"/>
      <c r="W665" s="4"/>
      <c r="X665" s="33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spans="1:41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32"/>
      <c r="L666" s="4"/>
      <c r="M666" s="4"/>
      <c r="N666" s="4"/>
      <c r="O666" s="4"/>
      <c r="P666" s="4"/>
      <c r="Q666" s="4"/>
      <c r="R666" s="4"/>
      <c r="S666" s="4"/>
      <c r="T666" s="4"/>
      <c r="U666" s="32"/>
      <c r="V666" s="4"/>
      <c r="W666" s="4"/>
      <c r="X666" s="33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spans="1:41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32"/>
      <c r="L667" s="4"/>
      <c r="M667" s="4"/>
      <c r="N667" s="4"/>
      <c r="O667" s="4"/>
      <c r="P667" s="4"/>
      <c r="Q667" s="4"/>
      <c r="R667" s="4"/>
      <c r="S667" s="4"/>
      <c r="T667" s="4"/>
      <c r="U667" s="32"/>
      <c r="V667" s="4"/>
      <c r="W667" s="4"/>
      <c r="X667" s="33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spans="1:41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32"/>
      <c r="L668" s="4"/>
      <c r="M668" s="4"/>
      <c r="N668" s="4"/>
      <c r="O668" s="4"/>
      <c r="P668" s="4"/>
      <c r="Q668" s="4"/>
      <c r="R668" s="4"/>
      <c r="S668" s="4"/>
      <c r="T668" s="4"/>
      <c r="U668" s="32"/>
      <c r="V668" s="4"/>
      <c r="W668" s="4"/>
      <c r="X668" s="33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spans="1:41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32"/>
      <c r="L669" s="4"/>
      <c r="M669" s="4"/>
      <c r="N669" s="4"/>
      <c r="O669" s="4"/>
      <c r="P669" s="4"/>
      <c r="Q669" s="4"/>
      <c r="R669" s="4"/>
      <c r="S669" s="4"/>
      <c r="T669" s="4"/>
      <c r="U669" s="32"/>
      <c r="V669" s="4"/>
      <c r="W669" s="4"/>
      <c r="X669" s="33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spans="1:41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32"/>
      <c r="L670" s="4"/>
      <c r="M670" s="4"/>
      <c r="N670" s="4"/>
      <c r="O670" s="4"/>
      <c r="P670" s="4"/>
      <c r="Q670" s="4"/>
      <c r="R670" s="4"/>
      <c r="S670" s="4"/>
      <c r="T670" s="4"/>
      <c r="U670" s="32"/>
      <c r="V670" s="4"/>
      <c r="W670" s="4"/>
      <c r="X670" s="33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spans="1:4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32"/>
      <c r="L671" s="4"/>
      <c r="M671" s="4"/>
      <c r="N671" s="4"/>
      <c r="O671" s="4"/>
      <c r="P671" s="4"/>
      <c r="Q671" s="4"/>
      <c r="R671" s="4"/>
      <c r="S671" s="4"/>
      <c r="T671" s="4"/>
      <c r="U671" s="32"/>
      <c r="V671" s="4"/>
      <c r="W671" s="4"/>
      <c r="X671" s="33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spans="1:41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32"/>
      <c r="L672" s="4"/>
      <c r="M672" s="4"/>
      <c r="N672" s="4"/>
      <c r="O672" s="4"/>
      <c r="P672" s="4"/>
      <c r="Q672" s="4"/>
      <c r="R672" s="4"/>
      <c r="S672" s="4"/>
      <c r="T672" s="4"/>
      <c r="U672" s="32"/>
      <c r="V672" s="4"/>
      <c r="W672" s="4"/>
      <c r="X672" s="33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spans="1:41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32"/>
      <c r="L673" s="4"/>
      <c r="M673" s="4"/>
      <c r="N673" s="4"/>
      <c r="O673" s="4"/>
      <c r="P673" s="4"/>
      <c r="Q673" s="4"/>
      <c r="R673" s="4"/>
      <c r="S673" s="4"/>
      <c r="T673" s="4"/>
      <c r="U673" s="32"/>
      <c r="V673" s="4"/>
      <c r="W673" s="4"/>
      <c r="X673" s="33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spans="1:41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32"/>
      <c r="L674" s="4"/>
      <c r="M674" s="4"/>
      <c r="N674" s="4"/>
      <c r="O674" s="4"/>
      <c r="P674" s="4"/>
      <c r="Q674" s="4"/>
      <c r="R674" s="4"/>
      <c r="S674" s="4"/>
      <c r="T674" s="4"/>
      <c r="U674" s="32"/>
      <c r="V674" s="4"/>
      <c r="W674" s="4"/>
      <c r="X674" s="33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spans="1:41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32"/>
      <c r="L675" s="4"/>
      <c r="M675" s="4"/>
      <c r="N675" s="4"/>
      <c r="O675" s="4"/>
      <c r="P675" s="4"/>
      <c r="Q675" s="4"/>
      <c r="R675" s="4"/>
      <c r="S675" s="4"/>
      <c r="T675" s="4"/>
      <c r="U675" s="32"/>
      <c r="V675" s="4"/>
      <c r="W675" s="4"/>
      <c r="X675" s="33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spans="1:41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32"/>
      <c r="L676" s="4"/>
      <c r="M676" s="4"/>
      <c r="N676" s="4"/>
      <c r="O676" s="4"/>
      <c r="P676" s="4"/>
      <c r="Q676" s="4"/>
      <c r="R676" s="4"/>
      <c r="S676" s="4"/>
      <c r="T676" s="4"/>
      <c r="U676" s="32"/>
      <c r="V676" s="4"/>
      <c r="W676" s="4"/>
      <c r="X676" s="33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spans="1:41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32"/>
      <c r="L677" s="4"/>
      <c r="M677" s="4"/>
      <c r="N677" s="4"/>
      <c r="O677" s="4"/>
      <c r="P677" s="4"/>
      <c r="Q677" s="4"/>
      <c r="R677" s="4"/>
      <c r="S677" s="4"/>
      <c r="T677" s="4"/>
      <c r="U677" s="32"/>
      <c r="V677" s="4"/>
      <c r="W677" s="4"/>
      <c r="X677" s="33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spans="1:41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32"/>
      <c r="L678" s="4"/>
      <c r="M678" s="4"/>
      <c r="N678" s="4"/>
      <c r="O678" s="4"/>
      <c r="P678" s="4"/>
      <c r="Q678" s="4"/>
      <c r="R678" s="4"/>
      <c r="S678" s="4"/>
      <c r="T678" s="4"/>
      <c r="U678" s="32"/>
      <c r="V678" s="4"/>
      <c r="W678" s="4"/>
      <c r="X678" s="33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spans="1:41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32"/>
      <c r="L679" s="4"/>
      <c r="M679" s="4"/>
      <c r="N679" s="4"/>
      <c r="O679" s="4"/>
      <c r="P679" s="4"/>
      <c r="Q679" s="4"/>
      <c r="R679" s="4"/>
      <c r="S679" s="4"/>
      <c r="T679" s="4"/>
      <c r="U679" s="32"/>
      <c r="V679" s="4"/>
      <c r="W679" s="4"/>
      <c r="X679" s="33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spans="1:41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32"/>
      <c r="L680" s="4"/>
      <c r="M680" s="4"/>
      <c r="N680" s="4"/>
      <c r="O680" s="4"/>
      <c r="P680" s="4"/>
      <c r="Q680" s="4"/>
      <c r="R680" s="4"/>
      <c r="S680" s="4"/>
      <c r="T680" s="4"/>
      <c r="U680" s="32"/>
      <c r="V680" s="4"/>
      <c r="W680" s="4"/>
      <c r="X680" s="33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spans="1:4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32"/>
      <c r="L681" s="4"/>
      <c r="M681" s="4"/>
      <c r="N681" s="4"/>
      <c r="O681" s="4"/>
      <c r="P681" s="4"/>
      <c r="Q681" s="4"/>
      <c r="R681" s="4"/>
      <c r="S681" s="4"/>
      <c r="T681" s="4"/>
      <c r="U681" s="32"/>
      <c r="V681" s="4"/>
      <c r="W681" s="4"/>
      <c r="X681" s="33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spans="1:41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32"/>
      <c r="L682" s="4"/>
      <c r="M682" s="4"/>
      <c r="N682" s="4"/>
      <c r="O682" s="4"/>
      <c r="P682" s="4"/>
      <c r="Q682" s="4"/>
      <c r="R682" s="4"/>
      <c r="S682" s="4"/>
      <c r="T682" s="4"/>
      <c r="U682" s="32"/>
      <c r="V682" s="4"/>
      <c r="W682" s="4"/>
      <c r="X682" s="33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spans="1:41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32"/>
      <c r="L683" s="4"/>
      <c r="M683" s="4"/>
      <c r="N683" s="4"/>
      <c r="O683" s="4"/>
      <c r="P683" s="4"/>
      <c r="Q683" s="4"/>
      <c r="R683" s="4"/>
      <c r="S683" s="4"/>
      <c r="T683" s="4"/>
      <c r="U683" s="32"/>
      <c r="V683" s="4"/>
      <c r="W683" s="4"/>
      <c r="X683" s="33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spans="1:41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32"/>
      <c r="L684" s="4"/>
      <c r="M684" s="4"/>
      <c r="N684" s="4"/>
      <c r="O684" s="4"/>
      <c r="P684" s="4"/>
      <c r="Q684" s="4"/>
      <c r="R684" s="4"/>
      <c r="S684" s="4"/>
      <c r="T684" s="4"/>
      <c r="U684" s="32"/>
      <c r="V684" s="4"/>
      <c r="W684" s="4"/>
      <c r="X684" s="33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spans="1:41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32"/>
      <c r="L685" s="4"/>
      <c r="M685" s="4"/>
      <c r="N685" s="4"/>
      <c r="O685" s="4"/>
      <c r="P685" s="4"/>
      <c r="Q685" s="4"/>
      <c r="R685" s="4"/>
      <c r="S685" s="4"/>
      <c r="T685" s="4"/>
      <c r="U685" s="32"/>
      <c r="V685" s="4"/>
      <c r="W685" s="4"/>
      <c r="X685" s="33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spans="1:41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32"/>
      <c r="L686" s="4"/>
      <c r="M686" s="4"/>
      <c r="N686" s="4"/>
      <c r="O686" s="4"/>
      <c r="P686" s="4"/>
      <c r="Q686" s="4"/>
      <c r="R686" s="4"/>
      <c r="S686" s="4"/>
      <c r="T686" s="4"/>
      <c r="U686" s="32"/>
      <c r="V686" s="4"/>
      <c r="W686" s="4"/>
      <c r="X686" s="33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spans="1:41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32"/>
      <c r="L687" s="4"/>
      <c r="M687" s="4"/>
      <c r="N687" s="4"/>
      <c r="O687" s="4"/>
      <c r="P687" s="4"/>
      <c r="Q687" s="4"/>
      <c r="R687" s="4"/>
      <c r="S687" s="4"/>
      <c r="T687" s="4"/>
      <c r="U687" s="32"/>
      <c r="V687" s="4"/>
      <c r="W687" s="4"/>
      <c r="X687" s="33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spans="1:41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32"/>
      <c r="L688" s="4"/>
      <c r="M688" s="4"/>
      <c r="N688" s="4"/>
      <c r="O688" s="4"/>
      <c r="P688" s="4"/>
      <c r="Q688" s="4"/>
      <c r="R688" s="4"/>
      <c r="S688" s="4"/>
      <c r="T688" s="4"/>
      <c r="U688" s="32"/>
      <c r="V688" s="4"/>
      <c r="W688" s="4"/>
      <c r="X688" s="33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spans="1:41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32"/>
      <c r="L689" s="4"/>
      <c r="M689" s="4"/>
      <c r="N689" s="4"/>
      <c r="O689" s="4"/>
      <c r="P689" s="4"/>
      <c r="Q689" s="4"/>
      <c r="R689" s="4"/>
      <c r="S689" s="4"/>
      <c r="T689" s="4"/>
      <c r="U689" s="32"/>
      <c r="V689" s="4"/>
      <c r="W689" s="4"/>
      <c r="X689" s="33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spans="1:41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32"/>
      <c r="L690" s="4"/>
      <c r="M690" s="4"/>
      <c r="N690" s="4"/>
      <c r="O690" s="4"/>
      <c r="P690" s="4"/>
      <c r="Q690" s="4"/>
      <c r="R690" s="4"/>
      <c r="S690" s="4"/>
      <c r="T690" s="4"/>
      <c r="U690" s="32"/>
      <c r="V690" s="4"/>
      <c r="W690" s="4"/>
      <c r="X690" s="33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spans="1:4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32"/>
      <c r="L691" s="4"/>
      <c r="M691" s="4"/>
      <c r="N691" s="4"/>
      <c r="O691" s="4"/>
      <c r="P691" s="4"/>
      <c r="Q691" s="4"/>
      <c r="R691" s="4"/>
      <c r="S691" s="4"/>
      <c r="T691" s="4"/>
      <c r="U691" s="32"/>
      <c r="V691" s="4"/>
      <c r="W691" s="4"/>
      <c r="X691" s="33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spans="1:41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32"/>
      <c r="L692" s="4"/>
      <c r="M692" s="4"/>
      <c r="N692" s="4"/>
      <c r="O692" s="4"/>
      <c r="P692" s="4"/>
      <c r="Q692" s="4"/>
      <c r="R692" s="4"/>
      <c r="S692" s="4"/>
      <c r="T692" s="4"/>
      <c r="U692" s="32"/>
      <c r="V692" s="4"/>
      <c r="W692" s="4"/>
      <c r="X692" s="33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spans="1:41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32"/>
      <c r="L693" s="4"/>
      <c r="M693" s="4"/>
      <c r="N693" s="4"/>
      <c r="O693" s="4"/>
      <c r="P693" s="4"/>
      <c r="Q693" s="4"/>
      <c r="R693" s="4"/>
      <c r="S693" s="4"/>
      <c r="T693" s="4"/>
      <c r="U693" s="32"/>
      <c r="V693" s="4"/>
      <c r="W693" s="4"/>
      <c r="X693" s="33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spans="1:41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32"/>
      <c r="L694" s="4"/>
      <c r="M694" s="4"/>
      <c r="N694" s="4"/>
      <c r="O694" s="4"/>
      <c r="P694" s="4"/>
      <c r="Q694" s="4"/>
      <c r="R694" s="4"/>
      <c r="S694" s="4"/>
      <c r="T694" s="4"/>
      <c r="U694" s="32"/>
      <c r="V694" s="4"/>
      <c r="W694" s="4"/>
      <c r="X694" s="33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spans="1:41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32"/>
      <c r="L695" s="4"/>
      <c r="M695" s="4"/>
      <c r="N695" s="4"/>
      <c r="O695" s="4"/>
      <c r="P695" s="4"/>
      <c r="Q695" s="4"/>
      <c r="R695" s="4"/>
      <c r="S695" s="4"/>
      <c r="T695" s="4"/>
      <c r="U695" s="32"/>
      <c r="V695" s="4"/>
      <c r="W695" s="4"/>
      <c r="X695" s="33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spans="1:41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32"/>
      <c r="L696" s="4"/>
      <c r="M696" s="4"/>
      <c r="N696" s="4"/>
      <c r="O696" s="4"/>
      <c r="P696" s="4"/>
      <c r="Q696" s="4"/>
      <c r="R696" s="4"/>
      <c r="S696" s="4"/>
      <c r="T696" s="4"/>
      <c r="U696" s="32"/>
      <c r="V696" s="4"/>
      <c r="W696" s="4"/>
      <c r="X696" s="33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spans="1:41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32"/>
      <c r="L697" s="4"/>
      <c r="M697" s="4"/>
      <c r="N697" s="4"/>
      <c r="O697" s="4"/>
      <c r="P697" s="4"/>
      <c r="Q697" s="4"/>
      <c r="R697" s="4"/>
      <c r="S697" s="4"/>
      <c r="T697" s="4"/>
      <c r="U697" s="32"/>
      <c r="V697" s="4"/>
      <c r="W697" s="4"/>
      <c r="X697" s="33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spans="1:41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32"/>
      <c r="L698" s="4"/>
      <c r="M698" s="4"/>
      <c r="N698" s="4"/>
      <c r="O698" s="4"/>
      <c r="P698" s="4"/>
      <c r="Q698" s="4"/>
      <c r="R698" s="4"/>
      <c r="S698" s="4"/>
      <c r="T698" s="4"/>
      <c r="U698" s="32"/>
      <c r="V698" s="4"/>
      <c r="W698" s="4"/>
      <c r="X698" s="33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spans="1:41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32"/>
      <c r="L699" s="4"/>
      <c r="M699" s="4"/>
      <c r="N699" s="4"/>
      <c r="O699" s="4"/>
      <c r="P699" s="4"/>
      <c r="Q699" s="4"/>
      <c r="R699" s="4"/>
      <c r="S699" s="4"/>
      <c r="T699" s="4"/>
      <c r="U699" s="32"/>
      <c r="V699" s="4"/>
      <c r="W699" s="4"/>
      <c r="X699" s="33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spans="1:41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32"/>
      <c r="L700" s="4"/>
      <c r="M700" s="4"/>
      <c r="N700" s="4"/>
      <c r="O700" s="4"/>
      <c r="P700" s="4"/>
      <c r="Q700" s="4"/>
      <c r="R700" s="4"/>
      <c r="S700" s="4"/>
      <c r="T700" s="4"/>
      <c r="U700" s="32"/>
      <c r="V700" s="4"/>
      <c r="W700" s="4"/>
      <c r="X700" s="33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spans="1:4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32"/>
      <c r="L701" s="4"/>
      <c r="M701" s="4"/>
      <c r="N701" s="4"/>
      <c r="O701" s="4"/>
      <c r="P701" s="4"/>
      <c r="Q701" s="4"/>
      <c r="R701" s="4"/>
      <c r="S701" s="4"/>
      <c r="T701" s="4"/>
      <c r="U701" s="32"/>
      <c r="V701" s="4"/>
      <c r="W701" s="4"/>
      <c r="X701" s="33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spans="1:41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32"/>
      <c r="L702" s="4"/>
      <c r="M702" s="4"/>
      <c r="N702" s="4"/>
      <c r="O702" s="4"/>
      <c r="P702" s="4"/>
      <c r="Q702" s="4"/>
      <c r="R702" s="4"/>
      <c r="S702" s="4"/>
      <c r="T702" s="4"/>
      <c r="U702" s="32"/>
      <c r="V702" s="4"/>
      <c r="W702" s="4"/>
      <c r="X702" s="33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spans="1:41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32"/>
      <c r="L703" s="4"/>
      <c r="M703" s="4"/>
      <c r="N703" s="4"/>
      <c r="O703" s="4"/>
      <c r="P703" s="4"/>
      <c r="Q703" s="4"/>
      <c r="R703" s="4"/>
      <c r="S703" s="4"/>
      <c r="T703" s="4"/>
      <c r="U703" s="32"/>
      <c r="V703" s="4"/>
      <c r="W703" s="4"/>
      <c r="X703" s="33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spans="1:41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32"/>
      <c r="L704" s="4"/>
      <c r="M704" s="4"/>
      <c r="N704" s="4"/>
      <c r="O704" s="4"/>
      <c r="P704" s="4"/>
      <c r="Q704" s="4"/>
      <c r="R704" s="4"/>
      <c r="S704" s="4"/>
      <c r="T704" s="4"/>
      <c r="U704" s="32"/>
      <c r="V704" s="4"/>
      <c r="W704" s="4"/>
      <c r="X704" s="33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spans="1:41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32"/>
      <c r="L705" s="4"/>
      <c r="M705" s="4"/>
      <c r="N705" s="4"/>
      <c r="O705" s="4"/>
      <c r="P705" s="4"/>
      <c r="Q705" s="4"/>
      <c r="R705" s="4"/>
      <c r="S705" s="4"/>
      <c r="T705" s="4"/>
      <c r="U705" s="32"/>
      <c r="V705" s="4"/>
      <c r="W705" s="4"/>
      <c r="X705" s="33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spans="1:41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32"/>
      <c r="L706" s="4"/>
      <c r="M706" s="4"/>
      <c r="N706" s="4"/>
      <c r="O706" s="4"/>
      <c r="P706" s="4"/>
      <c r="Q706" s="4"/>
      <c r="R706" s="4"/>
      <c r="S706" s="4"/>
      <c r="T706" s="4"/>
      <c r="U706" s="32"/>
      <c r="V706" s="4"/>
      <c r="W706" s="4"/>
      <c r="X706" s="33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spans="1:41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32"/>
      <c r="L707" s="4"/>
      <c r="M707" s="4"/>
      <c r="N707" s="4"/>
      <c r="O707" s="4"/>
      <c r="P707" s="4"/>
      <c r="Q707" s="4"/>
      <c r="R707" s="4"/>
      <c r="S707" s="4"/>
      <c r="T707" s="4"/>
      <c r="U707" s="32"/>
      <c r="V707" s="4"/>
      <c r="W707" s="4"/>
      <c r="X707" s="33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spans="1:41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32"/>
      <c r="L708" s="4"/>
      <c r="M708" s="4"/>
      <c r="N708" s="4"/>
      <c r="O708" s="4"/>
      <c r="P708" s="4"/>
      <c r="Q708" s="4"/>
      <c r="R708" s="4"/>
      <c r="S708" s="4"/>
      <c r="T708" s="4"/>
      <c r="U708" s="32"/>
      <c r="V708" s="4"/>
      <c r="W708" s="4"/>
      <c r="X708" s="33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spans="1:41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32"/>
      <c r="L709" s="4"/>
      <c r="M709" s="4"/>
      <c r="N709" s="4"/>
      <c r="O709" s="4"/>
      <c r="P709" s="4"/>
      <c r="Q709" s="4"/>
      <c r="R709" s="4"/>
      <c r="S709" s="4"/>
      <c r="T709" s="4"/>
      <c r="U709" s="32"/>
      <c r="V709" s="4"/>
      <c r="W709" s="4"/>
      <c r="X709" s="33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spans="1:41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32"/>
      <c r="L710" s="4"/>
      <c r="M710" s="4"/>
      <c r="N710" s="4"/>
      <c r="O710" s="4"/>
      <c r="P710" s="4"/>
      <c r="Q710" s="4"/>
      <c r="R710" s="4"/>
      <c r="S710" s="4"/>
      <c r="T710" s="4"/>
      <c r="U710" s="32"/>
      <c r="V710" s="4"/>
      <c r="W710" s="4"/>
      <c r="X710" s="33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spans="1:4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32"/>
      <c r="L711" s="4"/>
      <c r="M711" s="4"/>
      <c r="N711" s="4"/>
      <c r="O711" s="4"/>
      <c r="P711" s="4"/>
      <c r="Q711" s="4"/>
      <c r="R711" s="4"/>
      <c r="S711" s="4"/>
      <c r="T711" s="4"/>
      <c r="U711" s="32"/>
      <c r="V711" s="4"/>
      <c r="W711" s="4"/>
      <c r="X711" s="33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spans="1:41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32"/>
      <c r="L712" s="4"/>
      <c r="M712" s="4"/>
      <c r="N712" s="4"/>
      <c r="O712" s="4"/>
      <c r="P712" s="4"/>
      <c r="Q712" s="4"/>
      <c r="R712" s="4"/>
      <c r="S712" s="4"/>
      <c r="T712" s="4"/>
      <c r="U712" s="32"/>
      <c r="V712" s="4"/>
      <c r="W712" s="4"/>
      <c r="X712" s="33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spans="1:41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32"/>
      <c r="L713" s="4"/>
      <c r="M713" s="4"/>
      <c r="N713" s="4"/>
      <c r="O713" s="4"/>
      <c r="P713" s="4"/>
      <c r="Q713" s="4"/>
      <c r="R713" s="4"/>
      <c r="S713" s="4"/>
      <c r="T713" s="4"/>
      <c r="U713" s="32"/>
      <c r="V713" s="4"/>
      <c r="W713" s="4"/>
      <c r="X713" s="33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spans="1:41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32"/>
      <c r="L714" s="4"/>
      <c r="M714" s="4"/>
      <c r="N714" s="4"/>
      <c r="O714" s="4"/>
      <c r="P714" s="4"/>
      <c r="Q714" s="4"/>
      <c r="R714" s="4"/>
      <c r="S714" s="4"/>
      <c r="T714" s="4"/>
      <c r="U714" s="32"/>
      <c r="V714" s="4"/>
      <c r="W714" s="4"/>
      <c r="X714" s="33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spans="1:41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32"/>
      <c r="L715" s="4"/>
      <c r="M715" s="4"/>
      <c r="N715" s="4"/>
      <c r="O715" s="4"/>
      <c r="P715" s="4"/>
      <c r="Q715" s="4"/>
      <c r="R715" s="4"/>
      <c r="S715" s="4"/>
      <c r="T715" s="4"/>
      <c r="U715" s="32"/>
      <c r="V715" s="4"/>
      <c r="W715" s="4"/>
      <c r="X715" s="33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spans="1:41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32"/>
      <c r="L716" s="4"/>
      <c r="M716" s="4"/>
      <c r="N716" s="4"/>
      <c r="O716" s="4"/>
      <c r="P716" s="4"/>
      <c r="Q716" s="4"/>
      <c r="R716" s="4"/>
      <c r="S716" s="4"/>
      <c r="T716" s="4"/>
      <c r="U716" s="32"/>
      <c r="V716" s="4"/>
      <c r="W716" s="4"/>
      <c r="X716" s="33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spans="1:41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32"/>
      <c r="L717" s="4"/>
      <c r="M717" s="4"/>
      <c r="N717" s="4"/>
      <c r="O717" s="4"/>
      <c r="P717" s="4"/>
      <c r="Q717" s="4"/>
      <c r="R717" s="4"/>
      <c r="S717" s="4"/>
      <c r="T717" s="4"/>
      <c r="U717" s="32"/>
      <c r="V717" s="4"/>
      <c r="W717" s="4"/>
      <c r="X717" s="33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spans="1:41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32"/>
      <c r="L718" s="4"/>
      <c r="M718" s="4"/>
      <c r="N718" s="4"/>
      <c r="O718" s="4"/>
      <c r="P718" s="4"/>
      <c r="Q718" s="4"/>
      <c r="R718" s="4"/>
      <c r="S718" s="4"/>
      <c r="T718" s="4"/>
      <c r="U718" s="32"/>
      <c r="V718" s="4"/>
      <c r="W718" s="4"/>
      <c r="X718" s="33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spans="1:41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32"/>
      <c r="L719" s="4"/>
      <c r="M719" s="4"/>
      <c r="N719" s="4"/>
      <c r="O719" s="4"/>
      <c r="P719" s="4"/>
      <c r="Q719" s="4"/>
      <c r="R719" s="4"/>
      <c r="S719" s="4"/>
      <c r="T719" s="4"/>
      <c r="U719" s="32"/>
      <c r="V719" s="4"/>
      <c r="W719" s="4"/>
      <c r="X719" s="33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spans="1:41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32"/>
      <c r="L720" s="4"/>
      <c r="M720" s="4"/>
      <c r="N720" s="4"/>
      <c r="O720" s="4"/>
      <c r="P720" s="4"/>
      <c r="Q720" s="4"/>
      <c r="R720" s="4"/>
      <c r="S720" s="4"/>
      <c r="T720" s="4"/>
      <c r="U720" s="32"/>
      <c r="V720" s="4"/>
      <c r="W720" s="4"/>
      <c r="X720" s="33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spans="1:4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32"/>
      <c r="L721" s="4"/>
      <c r="M721" s="4"/>
      <c r="N721" s="4"/>
      <c r="O721" s="4"/>
      <c r="P721" s="4"/>
      <c r="Q721" s="4"/>
      <c r="R721" s="4"/>
      <c r="S721" s="4"/>
      <c r="T721" s="4"/>
      <c r="U721" s="32"/>
      <c r="V721" s="4"/>
      <c r="W721" s="4"/>
      <c r="X721" s="33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spans="1:41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32"/>
      <c r="L722" s="4"/>
      <c r="M722" s="4"/>
      <c r="N722" s="4"/>
      <c r="O722" s="4"/>
      <c r="P722" s="4"/>
      <c r="Q722" s="4"/>
      <c r="R722" s="4"/>
      <c r="S722" s="4"/>
      <c r="T722" s="4"/>
      <c r="U722" s="32"/>
      <c r="V722" s="4"/>
      <c r="W722" s="4"/>
      <c r="X722" s="33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spans="1:41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32"/>
      <c r="L723" s="4"/>
      <c r="M723" s="4"/>
      <c r="N723" s="4"/>
      <c r="O723" s="4"/>
      <c r="P723" s="4"/>
      <c r="Q723" s="4"/>
      <c r="R723" s="4"/>
      <c r="S723" s="4"/>
      <c r="T723" s="4"/>
      <c r="U723" s="32"/>
      <c r="V723" s="4"/>
      <c r="W723" s="4"/>
      <c r="X723" s="33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spans="1:41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32"/>
      <c r="L724" s="4"/>
      <c r="M724" s="4"/>
      <c r="N724" s="4"/>
      <c r="O724" s="4"/>
      <c r="P724" s="4"/>
      <c r="Q724" s="4"/>
      <c r="R724" s="4"/>
      <c r="S724" s="4"/>
      <c r="T724" s="4"/>
      <c r="U724" s="32"/>
      <c r="V724" s="4"/>
      <c r="W724" s="4"/>
      <c r="X724" s="33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spans="1:41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32"/>
      <c r="L725" s="4"/>
      <c r="M725" s="4"/>
      <c r="N725" s="4"/>
      <c r="O725" s="4"/>
      <c r="P725" s="4"/>
      <c r="Q725" s="4"/>
      <c r="R725" s="4"/>
      <c r="S725" s="4"/>
      <c r="T725" s="4"/>
      <c r="U725" s="32"/>
      <c r="V725" s="4"/>
      <c r="W725" s="4"/>
      <c r="X725" s="33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spans="1:41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32"/>
      <c r="L726" s="4"/>
      <c r="M726" s="4"/>
      <c r="N726" s="4"/>
      <c r="O726" s="4"/>
      <c r="P726" s="4"/>
      <c r="Q726" s="4"/>
      <c r="R726" s="4"/>
      <c r="S726" s="4"/>
      <c r="T726" s="4"/>
      <c r="U726" s="32"/>
      <c r="V726" s="4"/>
      <c r="W726" s="4"/>
      <c r="X726" s="33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spans="1:41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32"/>
      <c r="L727" s="4"/>
      <c r="M727" s="4"/>
      <c r="N727" s="4"/>
      <c r="O727" s="4"/>
      <c r="P727" s="4"/>
      <c r="Q727" s="4"/>
      <c r="R727" s="4"/>
      <c r="S727" s="4"/>
      <c r="T727" s="4"/>
      <c r="U727" s="32"/>
      <c r="V727" s="4"/>
      <c r="W727" s="4"/>
      <c r="X727" s="33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spans="1:41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32"/>
      <c r="L728" s="4"/>
      <c r="M728" s="4"/>
      <c r="N728" s="4"/>
      <c r="O728" s="4"/>
      <c r="P728" s="4"/>
      <c r="Q728" s="4"/>
      <c r="R728" s="4"/>
      <c r="S728" s="4"/>
      <c r="T728" s="4"/>
      <c r="U728" s="32"/>
      <c r="V728" s="4"/>
      <c r="W728" s="4"/>
      <c r="X728" s="33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spans="1:41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32"/>
      <c r="L729" s="4"/>
      <c r="M729" s="4"/>
      <c r="N729" s="4"/>
      <c r="O729" s="4"/>
      <c r="P729" s="4"/>
      <c r="Q729" s="4"/>
      <c r="R729" s="4"/>
      <c r="S729" s="4"/>
      <c r="T729" s="4"/>
      <c r="U729" s="32"/>
      <c r="V729" s="4"/>
      <c r="W729" s="4"/>
      <c r="X729" s="33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spans="1:41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32"/>
      <c r="L730" s="4"/>
      <c r="M730" s="4"/>
      <c r="N730" s="4"/>
      <c r="O730" s="4"/>
      <c r="P730" s="4"/>
      <c r="Q730" s="4"/>
      <c r="R730" s="4"/>
      <c r="S730" s="4"/>
      <c r="T730" s="4"/>
      <c r="U730" s="32"/>
      <c r="V730" s="4"/>
      <c r="W730" s="4"/>
      <c r="X730" s="33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spans="1:4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32"/>
      <c r="L731" s="4"/>
      <c r="M731" s="4"/>
      <c r="N731" s="4"/>
      <c r="O731" s="4"/>
      <c r="P731" s="4"/>
      <c r="Q731" s="4"/>
      <c r="R731" s="4"/>
      <c r="S731" s="4"/>
      <c r="T731" s="4"/>
      <c r="U731" s="32"/>
      <c r="V731" s="4"/>
      <c r="W731" s="4"/>
      <c r="X731" s="33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spans="1:41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32"/>
      <c r="L732" s="4"/>
      <c r="M732" s="4"/>
      <c r="N732" s="4"/>
      <c r="O732" s="4"/>
      <c r="P732" s="4"/>
      <c r="Q732" s="4"/>
      <c r="R732" s="4"/>
      <c r="S732" s="4"/>
      <c r="T732" s="4"/>
      <c r="U732" s="32"/>
      <c r="V732" s="4"/>
      <c r="W732" s="4"/>
      <c r="X732" s="33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spans="1:41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32"/>
      <c r="L733" s="4"/>
      <c r="M733" s="4"/>
      <c r="N733" s="4"/>
      <c r="O733" s="4"/>
      <c r="P733" s="4"/>
      <c r="Q733" s="4"/>
      <c r="R733" s="4"/>
      <c r="S733" s="4"/>
      <c r="T733" s="4"/>
      <c r="U733" s="32"/>
      <c r="V733" s="4"/>
      <c r="W733" s="4"/>
      <c r="X733" s="33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spans="1:41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32"/>
      <c r="L734" s="4"/>
      <c r="M734" s="4"/>
      <c r="N734" s="4"/>
      <c r="O734" s="4"/>
      <c r="P734" s="4"/>
      <c r="Q734" s="4"/>
      <c r="R734" s="4"/>
      <c r="S734" s="4"/>
      <c r="T734" s="4"/>
      <c r="U734" s="32"/>
      <c r="V734" s="4"/>
      <c r="W734" s="4"/>
      <c r="X734" s="33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spans="1:41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32"/>
      <c r="L735" s="4"/>
      <c r="M735" s="4"/>
      <c r="N735" s="4"/>
      <c r="O735" s="4"/>
      <c r="P735" s="4"/>
      <c r="Q735" s="4"/>
      <c r="R735" s="4"/>
      <c r="S735" s="4"/>
      <c r="T735" s="4"/>
      <c r="U735" s="32"/>
      <c r="V735" s="4"/>
      <c r="W735" s="4"/>
      <c r="X735" s="33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spans="1:41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32"/>
      <c r="L736" s="4"/>
      <c r="M736" s="4"/>
      <c r="N736" s="4"/>
      <c r="O736" s="4"/>
      <c r="P736" s="4"/>
      <c r="Q736" s="4"/>
      <c r="R736" s="4"/>
      <c r="S736" s="4"/>
      <c r="T736" s="4"/>
      <c r="U736" s="32"/>
      <c r="V736" s="4"/>
      <c r="W736" s="4"/>
      <c r="X736" s="33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spans="1:41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32"/>
      <c r="L737" s="4"/>
      <c r="M737" s="4"/>
      <c r="N737" s="4"/>
      <c r="O737" s="4"/>
      <c r="P737" s="4"/>
      <c r="Q737" s="4"/>
      <c r="R737" s="4"/>
      <c r="S737" s="4"/>
      <c r="T737" s="4"/>
      <c r="U737" s="32"/>
      <c r="V737" s="4"/>
      <c r="W737" s="4"/>
      <c r="X737" s="33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spans="1:41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32"/>
      <c r="L738" s="4"/>
      <c r="M738" s="4"/>
      <c r="N738" s="4"/>
      <c r="O738" s="4"/>
      <c r="P738" s="4"/>
      <c r="Q738" s="4"/>
      <c r="R738" s="4"/>
      <c r="S738" s="4"/>
      <c r="T738" s="4"/>
      <c r="U738" s="32"/>
      <c r="V738" s="4"/>
      <c r="W738" s="4"/>
      <c r="X738" s="33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spans="1:41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32"/>
      <c r="L739" s="4"/>
      <c r="M739" s="4"/>
      <c r="N739" s="4"/>
      <c r="O739" s="4"/>
      <c r="P739" s="4"/>
      <c r="Q739" s="4"/>
      <c r="R739" s="4"/>
      <c r="S739" s="4"/>
      <c r="T739" s="4"/>
      <c r="U739" s="32"/>
      <c r="V739" s="4"/>
      <c r="W739" s="4"/>
      <c r="X739" s="33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spans="1:41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32"/>
      <c r="L740" s="4"/>
      <c r="M740" s="4"/>
      <c r="N740" s="4"/>
      <c r="O740" s="4"/>
      <c r="P740" s="4"/>
      <c r="Q740" s="4"/>
      <c r="R740" s="4"/>
      <c r="S740" s="4"/>
      <c r="T740" s="4"/>
      <c r="U740" s="32"/>
      <c r="V740" s="4"/>
      <c r="W740" s="4"/>
      <c r="X740" s="33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spans="1: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32"/>
      <c r="L741" s="4"/>
      <c r="M741" s="4"/>
      <c r="N741" s="4"/>
      <c r="O741" s="4"/>
      <c r="P741" s="4"/>
      <c r="Q741" s="4"/>
      <c r="R741" s="4"/>
      <c r="S741" s="4"/>
      <c r="T741" s="4"/>
      <c r="U741" s="32"/>
      <c r="V741" s="4"/>
      <c r="W741" s="4"/>
      <c r="X741" s="33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spans="1:41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32"/>
      <c r="L742" s="4"/>
      <c r="M742" s="4"/>
      <c r="N742" s="4"/>
      <c r="O742" s="4"/>
      <c r="P742" s="4"/>
      <c r="Q742" s="4"/>
      <c r="R742" s="4"/>
      <c r="S742" s="4"/>
      <c r="T742" s="4"/>
      <c r="U742" s="32"/>
      <c r="V742" s="4"/>
      <c r="W742" s="4"/>
      <c r="X742" s="33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spans="1:41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32"/>
      <c r="L743" s="4"/>
      <c r="M743" s="4"/>
      <c r="N743" s="4"/>
      <c r="O743" s="4"/>
      <c r="P743" s="4"/>
      <c r="Q743" s="4"/>
      <c r="R743" s="4"/>
      <c r="S743" s="4"/>
      <c r="T743" s="4"/>
      <c r="U743" s="32"/>
      <c r="V743" s="4"/>
      <c r="W743" s="4"/>
      <c r="X743" s="33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spans="1:41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32"/>
      <c r="L744" s="4"/>
      <c r="M744" s="4"/>
      <c r="N744" s="4"/>
      <c r="O744" s="4"/>
      <c r="P744" s="4"/>
      <c r="Q744" s="4"/>
      <c r="R744" s="4"/>
      <c r="S744" s="4"/>
      <c r="T744" s="4"/>
      <c r="U744" s="32"/>
      <c r="V744" s="4"/>
      <c r="W744" s="4"/>
      <c r="X744" s="33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spans="1:41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32"/>
      <c r="L745" s="4"/>
      <c r="M745" s="4"/>
      <c r="N745" s="4"/>
      <c r="O745" s="4"/>
      <c r="P745" s="4"/>
      <c r="Q745" s="4"/>
      <c r="R745" s="4"/>
      <c r="S745" s="4"/>
      <c r="T745" s="4"/>
      <c r="U745" s="32"/>
      <c r="V745" s="4"/>
      <c r="W745" s="4"/>
      <c r="X745" s="33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spans="1:41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32"/>
      <c r="L746" s="4"/>
      <c r="M746" s="4"/>
      <c r="N746" s="4"/>
      <c r="O746" s="4"/>
      <c r="P746" s="4"/>
      <c r="Q746" s="4"/>
      <c r="R746" s="4"/>
      <c r="S746" s="4"/>
      <c r="T746" s="4"/>
      <c r="U746" s="32"/>
      <c r="V746" s="4"/>
      <c r="W746" s="4"/>
      <c r="X746" s="33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spans="1:41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32"/>
      <c r="L747" s="4"/>
      <c r="M747" s="4"/>
      <c r="N747" s="4"/>
      <c r="O747" s="4"/>
      <c r="P747" s="4"/>
      <c r="Q747" s="4"/>
      <c r="R747" s="4"/>
      <c r="S747" s="4"/>
      <c r="T747" s="4"/>
      <c r="U747" s="32"/>
      <c r="V747" s="4"/>
      <c r="W747" s="4"/>
      <c r="X747" s="33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spans="1:41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32"/>
      <c r="L748" s="4"/>
      <c r="M748" s="4"/>
      <c r="N748" s="4"/>
      <c r="O748" s="4"/>
      <c r="P748" s="4"/>
      <c r="Q748" s="4"/>
      <c r="R748" s="4"/>
      <c r="S748" s="4"/>
      <c r="T748" s="4"/>
      <c r="U748" s="32"/>
      <c r="V748" s="4"/>
      <c r="W748" s="4"/>
      <c r="X748" s="33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spans="1:41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32"/>
      <c r="L749" s="4"/>
      <c r="M749" s="4"/>
      <c r="N749" s="4"/>
      <c r="O749" s="4"/>
      <c r="P749" s="4"/>
      <c r="Q749" s="4"/>
      <c r="R749" s="4"/>
      <c r="S749" s="4"/>
      <c r="T749" s="4"/>
      <c r="U749" s="32"/>
      <c r="V749" s="4"/>
      <c r="W749" s="4"/>
      <c r="X749" s="33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spans="1:41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32"/>
      <c r="L750" s="4"/>
      <c r="M750" s="4"/>
      <c r="N750" s="4"/>
      <c r="O750" s="4"/>
      <c r="P750" s="4"/>
      <c r="Q750" s="4"/>
      <c r="R750" s="4"/>
      <c r="S750" s="4"/>
      <c r="T750" s="4"/>
      <c r="U750" s="32"/>
      <c r="V750" s="4"/>
      <c r="W750" s="4"/>
      <c r="X750" s="33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spans="1:4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32"/>
      <c r="L751" s="4"/>
      <c r="M751" s="4"/>
      <c r="N751" s="4"/>
      <c r="O751" s="4"/>
      <c r="P751" s="4"/>
      <c r="Q751" s="4"/>
      <c r="R751" s="4"/>
      <c r="S751" s="4"/>
      <c r="T751" s="4"/>
      <c r="U751" s="32"/>
      <c r="V751" s="4"/>
      <c r="W751" s="4"/>
      <c r="X751" s="33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spans="1:41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32"/>
      <c r="L752" s="4"/>
      <c r="M752" s="4"/>
      <c r="N752" s="4"/>
      <c r="O752" s="4"/>
      <c r="P752" s="4"/>
      <c r="Q752" s="4"/>
      <c r="R752" s="4"/>
      <c r="S752" s="4"/>
      <c r="T752" s="4"/>
      <c r="U752" s="32"/>
      <c r="V752" s="4"/>
      <c r="W752" s="4"/>
      <c r="X752" s="33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spans="1:41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32"/>
      <c r="L753" s="4"/>
      <c r="M753" s="4"/>
      <c r="N753" s="4"/>
      <c r="O753" s="4"/>
      <c r="P753" s="4"/>
      <c r="Q753" s="4"/>
      <c r="R753" s="4"/>
      <c r="S753" s="4"/>
      <c r="T753" s="4"/>
      <c r="U753" s="32"/>
      <c r="V753" s="4"/>
      <c r="W753" s="4"/>
      <c r="X753" s="33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spans="1:41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32"/>
      <c r="L754" s="4"/>
      <c r="M754" s="4"/>
      <c r="N754" s="4"/>
      <c r="O754" s="4"/>
      <c r="P754" s="4"/>
      <c r="Q754" s="4"/>
      <c r="R754" s="4"/>
      <c r="S754" s="4"/>
      <c r="T754" s="4"/>
      <c r="U754" s="32"/>
      <c r="V754" s="4"/>
      <c r="W754" s="4"/>
      <c r="X754" s="33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spans="1:41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32"/>
      <c r="L755" s="4"/>
      <c r="M755" s="4"/>
      <c r="N755" s="4"/>
      <c r="O755" s="4"/>
      <c r="P755" s="4"/>
      <c r="Q755" s="4"/>
      <c r="R755" s="4"/>
      <c r="S755" s="4"/>
      <c r="T755" s="4"/>
      <c r="U755" s="32"/>
      <c r="V755" s="4"/>
      <c r="W755" s="4"/>
      <c r="X755" s="33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spans="1:41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32"/>
      <c r="L756" s="4"/>
      <c r="M756" s="4"/>
      <c r="N756" s="4"/>
      <c r="O756" s="4"/>
      <c r="P756" s="4"/>
      <c r="Q756" s="4"/>
      <c r="R756" s="4"/>
      <c r="S756" s="4"/>
      <c r="T756" s="4"/>
      <c r="U756" s="32"/>
      <c r="V756" s="4"/>
      <c r="W756" s="4"/>
      <c r="X756" s="33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spans="1:41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32"/>
      <c r="L757" s="4"/>
      <c r="M757" s="4"/>
      <c r="N757" s="4"/>
      <c r="O757" s="4"/>
      <c r="P757" s="4"/>
      <c r="Q757" s="4"/>
      <c r="R757" s="4"/>
      <c r="S757" s="4"/>
      <c r="T757" s="4"/>
      <c r="U757" s="32"/>
      <c r="V757" s="4"/>
      <c r="W757" s="4"/>
      <c r="X757" s="33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spans="1:41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32"/>
      <c r="L758" s="4"/>
      <c r="M758" s="4"/>
      <c r="N758" s="4"/>
      <c r="O758" s="4"/>
      <c r="P758" s="4"/>
      <c r="Q758" s="4"/>
      <c r="R758" s="4"/>
      <c r="S758" s="4"/>
      <c r="T758" s="4"/>
      <c r="U758" s="32"/>
      <c r="V758" s="4"/>
      <c r="W758" s="4"/>
      <c r="X758" s="33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spans="1:41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32"/>
      <c r="L759" s="4"/>
      <c r="M759" s="4"/>
      <c r="N759" s="4"/>
      <c r="O759" s="4"/>
      <c r="P759" s="4"/>
      <c r="Q759" s="4"/>
      <c r="R759" s="4"/>
      <c r="S759" s="4"/>
      <c r="T759" s="4"/>
      <c r="U759" s="32"/>
      <c r="V759" s="4"/>
      <c r="W759" s="4"/>
      <c r="X759" s="33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spans="1:41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32"/>
      <c r="L760" s="4"/>
      <c r="M760" s="4"/>
      <c r="N760" s="4"/>
      <c r="O760" s="4"/>
      <c r="P760" s="4"/>
      <c r="Q760" s="4"/>
      <c r="R760" s="4"/>
      <c r="S760" s="4"/>
      <c r="T760" s="4"/>
      <c r="U760" s="32"/>
      <c r="V760" s="4"/>
      <c r="W760" s="4"/>
      <c r="X760" s="33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spans="1:4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32"/>
      <c r="L761" s="4"/>
      <c r="M761" s="4"/>
      <c r="N761" s="4"/>
      <c r="O761" s="4"/>
      <c r="P761" s="4"/>
      <c r="Q761" s="4"/>
      <c r="R761" s="4"/>
      <c r="S761" s="4"/>
      <c r="T761" s="4"/>
      <c r="U761" s="32"/>
      <c r="V761" s="4"/>
      <c r="W761" s="4"/>
      <c r="X761" s="33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spans="1:41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32"/>
      <c r="L762" s="4"/>
      <c r="M762" s="4"/>
      <c r="N762" s="4"/>
      <c r="O762" s="4"/>
      <c r="P762" s="4"/>
      <c r="Q762" s="4"/>
      <c r="R762" s="4"/>
      <c r="S762" s="4"/>
      <c r="T762" s="4"/>
      <c r="U762" s="32"/>
      <c r="V762" s="4"/>
      <c r="W762" s="4"/>
      <c r="X762" s="33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spans="1:41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32"/>
      <c r="L763" s="4"/>
      <c r="M763" s="4"/>
      <c r="N763" s="4"/>
      <c r="O763" s="4"/>
      <c r="P763" s="4"/>
      <c r="Q763" s="4"/>
      <c r="R763" s="4"/>
      <c r="S763" s="4"/>
      <c r="T763" s="4"/>
      <c r="U763" s="32"/>
      <c r="V763" s="4"/>
      <c r="W763" s="4"/>
      <c r="X763" s="33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spans="1:41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32"/>
      <c r="L764" s="4"/>
      <c r="M764" s="4"/>
      <c r="N764" s="4"/>
      <c r="O764" s="4"/>
      <c r="P764" s="4"/>
      <c r="Q764" s="4"/>
      <c r="R764" s="4"/>
      <c r="S764" s="4"/>
      <c r="T764" s="4"/>
      <c r="U764" s="32"/>
      <c r="V764" s="4"/>
      <c r="W764" s="4"/>
      <c r="X764" s="33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spans="1:41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32"/>
      <c r="L765" s="4"/>
      <c r="M765" s="4"/>
      <c r="N765" s="4"/>
      <c r="O765" s="4"/>
      <c r="P765" s="4"/>
      <c r="Q765" s="4"/>
      <c r="R765" s="4"/>
      <c r="S765" s="4"/>
      <c r="T765" s="4"/>
      <c r="U765" s="32"/>
      <c r="V765" s="4"/>
      <c r="W765" s="4"/>
      <c r="X765" s="33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spans="1:41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32"/>
      <c r="L766" s="4"/>
      <c r="M766" s="4"/>
      <c r="N766" s="4"/>
      <c r="O766" s="4"/>
      <c r="P766" s="4"/>
      <c r="Q766" s="4"/>
      <c r="R766" s="4"/>
      <c r="S766" s="4"/>
      <c r="T766" s="4"/>
      <c r="U766" s="32"/>
      <c r="V766" s="4"/>
      <c r="W766" s="4"/>
      <c r="X766" s="33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spans="1:41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32"/>
      <c r="L767" s="4"/>
      <c r="M767" s="4"/>
      <c r="N767" s="4"/>
      <c r="O767" s="4"/>
      <c r="P767" s="4"/>
      <c r="Q767" s="4"/>
      <c r="R767" s="4"/>
      <c r="S767" s="4"/>
      <c r="T767" s="4"/>
      <c r="U767" s="32"/>
      <c r="V767" s="4"/>
      <c r="W767" s="4"/>
      <c r="X767" s="33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spans="1:41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32"/>
      <c r="L768" s="4"/>
      <c r="M768" s="4"/>
      <c r="N768" s="4"/>
      <c r="O768" s="4"/>
      <c r="P768" s="4"/>
      <c r="Q768" s="4"/>
      <c r="R768" s="4"/>
      <c r="S768" s="4"/>
      <c r="T768" s="4"/>
      <c r="U768" s="32"/>
      <c r="V768" s="4"/>
      <c r="W768" s="4"/>
      <c r="X768" s="33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spans="1:41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32"/>
      <c r="L769" s="4"/>
      <c r="M769" s="4"/>
      <c r="N769" s="4"/>
      <c r="O769" s="4"/>
      <c r="P769" s="4"/>
      <c r="Q769" s="4"/>
      <c r="R769" s="4"/>
      <c r="S769" s="4"/>
      <c r="T769" s="4"/>
      <c r="U769" s="32"/>
      <c r="V769" s="4"/>
      <c r="W769" s="4"/>
      <c r="X769" s="33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spans="1:41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32"/>
      <c r="L770" s="4"/>
      <c r="M770" s="4"/>
      <c r="N770" s="4"/>
      <c r="O770" s="4"/>
      <c r="P770" s="4"/>
      <c r="Q770" s="4"/>
      <c r="R770" s="4"/>
      <c r="S770" s="4"/>
      <c r="T770" s="4"/>
      <c r="U770" s="32"/>
      <c r="V770" s="4"/>
      <c r="W770" s="4"/>
      <c r="X770" s="33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spans="1:4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32"/>
      <c r="L771" s="4"/>
      <c r="M771" s="4"/>
      <c r="N771" s="4"/>
      <c r="O771" s="4"/>
      <c r="P771" s="4"/>
      <c r="Q771" s="4"/>
      <c r="R771" s="4"/>
      <c r="S771" s="4"/>
      <c r="T771" s="4"/>
      <c r="U771" s="32"/>
      <c r="V771" s="4"/>
      <c r="W771" s="4"/>
      <c r="X771" s="33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spans="1:41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32"/>
      <c r="L772" s="4"/>
      <c r="M772" s="4"/>
      <c r="N772" s="4"/>
      <c r="O772" s="4"/>
      <c r="P772" s="4"/>
      <c r="Q772" s="4"/>
      <c r="R772" s="4"/>
      <c r="S772" s="4"/>
      <c r="T772" s="4"/>
      <c r="U772" s="32"/>
      <c r="V772" s="4"/>
      <c r="W772" s="4"/>
      <c r="X772" s="33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spans="1:41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32"/>
      <c r="L773" s="4"/>
      <c r="M773" s="4"/>
      <c r="N773" s="4"/>
      <c r="O773" s="4"/>
      <c r="P773" s="4"/>
      <c r="Q773" s="4"/>
      <c r="R773" s="4"/>
      <c r="S773" s="4"/>
      <c r="T773" s="4"/>
      <c r="U773" s="32"/>
      <c r="V773" s="4"/>
      <c r="W773" s="4"/>
      <c r="X773" s="33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spans="1:41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32"/>
      <c r="L774" s="4"/>
      <c r="M774" s="4"/>
      <c r="N774" s="4"/>
      <c r="O774" s="4"/>
      <c r="P774" s="4"/>
      <c r="Q774" s="4"/>
      <c r="R774" s="4"/>
      <c r="S774" s="4"/>
      <c r="T774" s="4"/>
      <c r="U774" s="32"/>
      <c r="V774" s="4"/>
      <c r="W774" s="4"/>
      <c r="X774" s="33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spans="1:41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32"/>
      <c r="L775" s="4"/>
      <c r="M775" s="4"/>
      <c r="N775" s="4"/>
      <c r="O775" s="4"/>
      <c r="P775" s="4"/>
      <c r="Q775" s="4"/>
      <c r="R775" s="4"/>
      <c r="S775" s="4"/>
      <c r="T775" s="4"/>
      <c r="U775" s="32"/>
      <c r="V775" s="4"/>
      <c r="W775" s="4"/>
      <c r="X775" s="33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spans="1:41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32"/>
      <c r="L776" s="4"/>
      <c r="M776" s="4"/>
      <c r="N776" s="4"/>
      <c r="O776" s="4"/>
      <c r="P776" s="4"/>
      <c r="Q776" s="4"/>
      <c r="R776" s="4"/>
      <c r="S776" s="4"/>
      <c r="T776" s="4"/>
      <c r="U776" s="32"/>
      <c r="V776" s="4"/>
      <c r="W776" s="4"/>
      <c r="X776" s="33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spans="1:41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32"/>
      <c r="L777" s="4"/>
      <c r="M777" s="4"/>
      <c r="N777" s="4"/>
      <c r="O777" s="4"/>
      <c r="P777" s="4"/>
      <c r="Q777" s="4"/>
      <c r="R777" s="4"/>
      <c r="S777" s="4"/>
      <c r="T777" s="4"/>
      <c r="U777" s="32"/>
      <c r="V777" s="4"/>
      <c r="W777" s="4"/>
      <c r="X777" s="33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spans="1:41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32"/>
      <c r="L778" s="4"/>
      <c r="M778" s="4"/>
      <c r="N778" s="4"/>
      <c r="O778" s="4"/>
      <c r="P778" s="4"/>
      <c r="Q778" s="4"/>
      <c r="R778" s="4"/>
      <c r="S778" s="4"/>
      <c r="T778" s="4"/>
      <c r="U778" s="32"/>
      <c r="V778" s="4"/>
      <c r="W778" s="4"/>
      <c r="X778" s="33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spans="1:41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32"/>
      <c r="L779" s="4"/>
      <c r="M779" s="4"/>
      <c r="N779" s="4"/>
      <c r="O779" s="4"/>
      <c r="P779" s="4"/>
      <c r="Q779" s="4"/>
      <c r="R779" s="4"/>
      <c r="S779" s="4"/>
      <c r="T779" s="4"/>
      <c r="U779" s="32"/>
      <c r="V779" s="4"/>
      <c r="W779" s="4"/>
      <c r="X779" s="33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spans="1:41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32"/>
      <c r="L780" s="4"/>
      <c r="M780" s="4"/>
      <c r="N780" s="4"/>
      <c r="O780" s="4"/>
      <c r="P780" s="4"/>
      <c r="Q780" s="4"/>
      <c r="R780" s="4"/>
      <c r="S780" s="4"/>
      <c r="T780" s="4"/>
      <c r="U780" s="32"/>
      <c r="V780" s="4"/>
      <c r="W780" s="4"/>
      <c r="X780" s="33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spans="1:4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32"/>
      <c r="L781" s="4"/>
      <c r="M781" s="4"/>
      <c r="N781" s="4"/>
      <c r="O781" s="4"/>
      <c r="P781" s="4"/>
      <c r="Q781" s="4"/>
      <c r="R781" s="4"/>
      <c r="S781" s="4"/>
      <c r="T781" s="4"/>
      <c r="U781" s="32"/>
      <c r="V781" s="4"/>
      <c r="W781" s="4"/>
      <c r="X781" s="33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spans="1:41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32"/>
      <c r="L782" s="4"/>
      <c r="M782" s="4"/>
      <c r="N782" s="4"/>
      <c r="O782" s="4"/>
      <c r="P782" s="4"/>
      <c r="Q782" s="4"/>
      <c r="R782" s="4"/>
      <c r="S782" s="4"/>
      <c r="T782" s="4"/>
      <c r="U782" s="32"/>
      <c r="V782" s="4"/>
      <c r="W782" s="4"/>
      <c r="X782" s="33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spans="1:41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32"/>
      <c r="L783" s="4"/>
      <c r="M783" s="4"/>
      <c r="N783" s="4"/>
      <c r="O783" s="4"/>
      <c r="P783" s="4"/>
      <c r="Q783" s="4"/>
      <c r="R783" s="4"/>
      <c r="S783" s="4"/>
      <c r="T783" s="4"/>
      <c r="U783" s="32"/>
      <c r="V783" s="4"/>
      <c r="W783" s="4"/>
      <c r="X783" s="33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spans="1:41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32"/>
      <c r="L784" s="4"/>
      <c r="M784" s="4"/>
      <c r="N784" s="4"/>
      <c r="O784" s="4"/>
      <c r="P784" s="4"/>
      <c r="Q784" s="4"/>
      <c r="R784" s="4"/>
      <c r="S784" s="4"/>
      <c r="T784" s="4"/>
      <c r="U784" s="32"/>
      <c r="V784" s="4"/>
      <c r="W784" s="4"/>
      <c r="X784" s="33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spans="1:41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32"/>
      <c r="L785" s="4"/>
      <c r="M785" s="4"/>
      <c r="N785" s="4"/>
      <c r="O785" s="4"/>
      <c r="P785" s="4"/>
      <c r="Q785" s="4"/>
      <c r="R785" s="4"/>
      <c r="S785" s="4"/>
      <c r="T785" s="4"/>
      <c r="U785" s="32"/>
      <c r="V785" s="4"/>
      <c r="W785" s="4"/>
      <c r="X785" s="33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spans="1:41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32"/>
      <c r="L786" s="4"/>
      <c r="M786" s="4"/>
      <c r="N786" s="4"/>
      <c r="O786" s="4"/>
      <c r="P786" s="4"/>
      <c r="Q786" s="4"/>
      <c r="R786" s="4"/>
      <c r="S786" s="4"/>
      <c r="T786" s="4"/>
      <c r="U786" s="32"/>
      <c r="V786" s="4"/>
      <c r="W786" s="4"/>
      <c r="X786" s="33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spans="1:41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32"/>
      <c r="L787" s="4"/>
      <c r="M787" s="4"/>
      <c r="N787" s="4"/>
      <c r="O787" s="4"/>
      <c r="P787" s="4"/>
      <c r="Q787" s="4"/>
      <c r="R787" s="4"/>
      <c r="S787" s="4"/>
      <c r="T787" s="4"/>
      <c r="U787" s="32"/>
      <c r="V787" s="4"/>
      <c r="W787" s="4"/>
      <c r="X787" s="33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spans="1:41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32"/>
      <c r="L788" s="4"/>
      <c r="M788" s="4"/>
      <c r="N788" s="4"/>
      <c r="O788" s="4"/>
      <c r="P788" s="4"/>
      <c r="Q788" s="4"/>
      <c r="R788" s="4"/>
      <c r="S788" s="4"/>
      <c r="T788" s="4"/>
      <c r="U788" s="32"/>
      <c r="V788" s="4"/>
      <c r="W788" s="4"/>
      <c r="X788" s="33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spans="1:41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32"/>
      <c r="L789" s="4"/>
      <c r="M789" s="4"/>
      <c r="N789" s="4"/>
      <c r="O789" s="4"/>
      <c r="P789" s="4"/>
      <c r="Q789" s="4"/>
      <c r="R789" s="4"/>
      <c r="S789" s="4"/>
      <c r="T789" s="4"/>
      <c r="U789" s="32"/>
      <c r="V789" s="4"/>
      <c r="W789" s="4"/>
      <c r="X789" s="33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spans="1:41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32"/>
      <c r="L790" s="4"/>
      <c r="M790" s="4"/>
      <c r="N790" s="4"/>
      <c r="O790" s="4"/>
      <c r="P790" s="4"/>
      <c r="Q790" s="4"/>
      <c r="R790" s="4"/>
      <c r="S790" s="4"/>
      <c r="T790" s="4"/>
      <c r="U790" s="32"/>
      <c r="V790" s="4"/>
      <c r="W790" s="4"/>
      <c r="X790" s="33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spans="1:4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32"/>
      <c r="L791" s="4"/>
      <c r="M791" s="4"/>
      <c r="N791" s="4"/>
      <c r="O791" s="4"/>
      <c r="P791" s="4"/>
      <c r="Q791" s="4"/>
      <c r="R791" s="4"/>
      <c r="S791" s="4"/>
      <c r="T791" s="4"/>
      <c r="U791" s="32"/>
      <c r="V791" s="4"/>
      <c r="W791" s="4"/>
      <c r="X791" s="33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spans="1:41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32"/>
      <c r="L792" s="4"/>
      <c r="M792" s="4"/>
      <c r="N792" s="4"/>
      <c r="O792" s="4"/>
      <c r="P792" s="4"/>
      <c r="Q792" s="4"/>
      <c r="R792" s="4"/>
      <c r="S792" s="4"/>
      <c r="T792" s="4"/>
      <c r="U792" s="32"/>
      <c r="V792" s="4"/>
      <c r="W792" s="4"/>
      <c r="X792" s="33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spans="1:41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32"/>
      <c r="L793" s="4"/>
      <c r="M793" s="4"/>
      <c r="N793" s="4"/>
      <c r="O793" s="4"/>
      <c r="P793" s="4"/>
      <c r="Q793" s="4"/>
      <c r="R793" s="4"/>
      <c r="S793" s="4"/>
      <c r="T793" s="4"/>
      <c r="U793" s="32"/>
      <c r="V793" s="4"/>
      <c r="W793" s="4"/>
      <c r="X793" s="33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spans="1:41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32"/>
      <c r="L794" s="4"/>
      <c r="M794" s="4"/>
      <c r="N794" s="4"/>
      <c r="O794" s="4"/>
      <c r="P794" s="4"/>
      <c r="Q794" s="4"/>
      <c r="R794" s="4"/>
      <c r="S794" s="4"/>
      <c r="T794" s="4"/>
      <c r="U794" s="32"/>
      <c r="V794" s="4"/>
      <c r="W794" s="4"/>
      <c r="X794" s="33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spans="1:41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32"/>
      <c r="L795" s="4"/>
      <c r="M795" s="4"/>
      <c r="N795" s="4"/>
      <c r="O795" s="4"/>
      <c r="P795" s="4"/>
      <c r="Q795" s="4"/>
      <c r="R795" s="4"/>
      <c r="S795" s="4"/>
      <c r="T795" s="4"/>
      <c r="U795" s="32"/>
      <c r="V795" s="4"/>
      <c r="W795" s="4"/>
      <c r="X795" s="33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spans="1:41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32"/>
      <c r="L796" s="4"/>
      <c r="M796" s="4"/>
      <c r="N796" s="4"/>
      <c r="O796" s="4"/>
      <c r="P796" s="4"/>
      <c r="Q796" s="4"/>
      <c r="R796" s="4"/>
      <c r="S796" s="4"/>
      <c r="T796" s="4"/>
      <c r="U796" s="32"/>
      <c r="V796" s="4"/>
      <c r="W796" s="4"/>
      <c r="X796" s="33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spans="1:41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32"/>
      <c r="L797" s="4"/>
      <c r="M797" s="4"/>
      <c r="N797" s="4"/>
      <c r="O797" s="4"/>
      <c r="P797" s="4"/>
      <c r="Q797" s="4"/>
      <c r="R797" s="4"/>
      <c r="S797" s="4"/>
      <c r="T797" s="4"/>
      <c r="U797" s="32"/>
      <c r="V797" s="4"/>
      <c r="W797" s="4"/>
      <c r="X797" s="33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spans="1:41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32"/>
      <c r="L798" s="4"/>
      <c r="M798" s="4"/>
      <c r="N798" s="4"/>
      <c r="O798" s="4"/>
      <c r="P798" s="4"/>
      <c r="Q798" s="4"/>
      <c r="R798" s="4"/>
      <c r="S798" s="4"/>
      <c r="T798" s="4"/>
      <c r="U798" s="32"/>
      <c r="V798" s="4"/>
      <c r="W798" s="4"/>
      <c r="X798" s="33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spans="1:41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32"/>
      <c r="L799" s="4"/>
      <c r="M799" s="4"/>
      <c r="N799" s="4"/>
      <c r="O799" s="4"/>
      <c r="P799" s="4"/>
      <c r="Q799" s="4"/>
      <c r="R799" s="4"/>
      <c r="S799" s="4"/>
      <c r="T799" s="4"/>
      <c r="U799" s="32"/>
      <c r="V799" s="4"/>
      <c r="W799" s="4"/>
      <c r="X799" s="33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spans="1:41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32"/>
      <c r="L800" s="4"/>
      <c r="M800" s="4"/>
      <c r="N800" s="4"/>
      <c r="O800" s="4"/>
      <c r="P800" s="4"/>
      <c r="Q800" s="4"/>
      <c r="R800" s="4"/>
      <c r="S800" s="4"/>
      <c r="T800" s="4"/>
      <c r="U800" s="32"/>
      <c r="V800" s="4"/>
      <c r="W800" s="4"/>
      <c r="X800" s="33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spans="1:4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32"/>
      <c r="L801" s="4"/>
      <c r="M801" s="4"/>
      <c r="N801" s="4"/>
      <c r="O801" s="4"/>
      <c r="P801" s="4"/>
      <c r="Q801" s="4"/>
      <c r="R801" s="4"/>
      <c r="S801" s="4"/>
      <c r="T801" s="4"/>
      <c r="U801" s="32"/>
      <c r="V801" s="4"/>
      <c r="W801" s="4"/>
      <c r="X801" s="33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spans="1:41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32"/>
      <c r="L802" s="4"/>
      <c r="M802" s="4"/>
      <c r="N802" s="4"/>
      <c r="O802" s="4"/>
      <c r="P802" s="4"/>
      <c r="Q802" s="4"/>
      <c r="R802" s="4"/>
      <c r="S802" s="4"/>
      <c r="T802" s="4"/>
      <c r="U802" s="32"/>
      <c r="V802" s="4"/>
      <c r="W802" s="4"/>
      <c r="X802" s="33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spans="1:41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32"/>
      <c r="L803" s="4"/>
      <c r="M803" s="4"/>
      <c r="N803" s="4"/>
      <c r="O803" s="4"/>
      <c r="P803" s="4"/>
      <c r="Q803" s="4"/>
      <c r="R803" s="4"/>
      <c r="S803" s="4"/>
      <c r="T803" s="4"/>
      <c r="U803" s="32"/>
      <c r="V803" s="4"/>
      <c r="W803" s="4"/>
      <c r="X803" s="33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spans="1:41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32"/>
      <c r="L804" s="4"/>
      <c r="M804" s="4"/>
      <c r="N804" s="4"/>
      <c r="O804" s="4"/>
      <c r="P804" s="4"/>
      <c r="Q804" s="4"/>
      <c r="R804" s="4"/>
      <c r="S804" s="4"/>
      <c r="T804" s="4"/>
      <c r="U804" s="32"/>
      <c r="V804" s="4"/>
      <c r="W804" s="4"/>
      <c r="X804" s="33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spans="1:41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32"/>
      <c r="L805" s="4"/>
      <c r="M805" s="4"/>
      <c r="N805" s="4"/>
      <c r="O805" s="4"/>
      <c r="P805" s="4"/>
      <c r="Q805" s="4"/>
      <c r="R805" s="4"/>
      <c r="S805" s="4"/>
      <c r="T805" s="4"/>
      <c r="U805" s="32"/>
      <c r="V805" s="4"/>
      <c r="W805" s="4"/>
      <c r="X805" s="33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spans="1:41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32"/>
      <c r="L806" s="4"/>
      <c r="M806" s="4"/>
      <c r="N806" s="4"/>
      <c r="O806" s="4"/>
      <c r="P806" s="4"/>
      <c r="Q806" s="4"/>
      <c r="R806" s="4"/>
      <c r="S806" s="4"/>
      <c r="T806" s="4"/>
      <c r="U806" s="32"/>
      <c r="V806" s="4"/>
      <c r="W806" s="4"/>
      <c r="X806" s="33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spans="1:41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32"/>
      <c r="L807" s="4"/>
      <c r="M807" s="4"/>
      <c r="N807" s="4"/>
      <c r="O807" s="4"/>
      <c r="P807" s="4"/>
      <c r="Q807" s="4"/>
      <c r="R807" s="4"/>
      <c r="S807" s="4"/>
      <c r="T807" s="4"/>
      <c r="U807" s="32"/>
      <c r="V807" s="4"/>
      <c r="W807" s="4"/>
      <c r="X807" s="33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spans="1:41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32"/>
      <c r="L808" s="4"/>
      <c r="M808" s="4"/>
      <c r="N808" s="4"/>
      <c r="O808" s="4"/>
      <c r="P808" s="4"/>
      <c r="Q808" s="4"/>
      <c r="R808" s="4"/>
      <c r="S808" s="4"/>
      <c r="T808" s="4"/>
      <c r="U808" s="32"/>
      <c r="V808" s="4"/>
      <c r="W808" s="4"/>
      <c r="X808" s="33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spans="1:41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32"/>
      <c r="L809" s="4"/>
      <c r="M809" s="4"/>
      <c r="N809" s="4"/>
      <c r="O809" s="4"/>
      <c r="P809" s="4"/>
      <c r="Q809" s="4"/>
      <c r="R809" s="4"/>
      <c r="S809" s="4"/>
      <c r="T809" s="4"/>
      <c r="U809" s="32"/>
      <c r="V809" s="4"/>
      <c r="W809" s="4"/>
      <c r="X809" s="33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spans="1:41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32"/>
      <c r="L810" s="4"/>
      <c r="M810" s="4"/>
      <c r="N810" s="4"/>
      <c r="O810" s="4"/>
      <c r="P810" s="4"/>
      <c r="Q810" s="4"/>
      <c r="R810" s="4"/>
      <c r="S810" s="4"/>
      <c r="T810" s="4"/>
      <c r="U810" s="32"/>
      <c r="V810" s="4"/>
      <c r="W810" s="4"/>
      <c r="X810" s="33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spans="1:4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32"/>
      <c r="L811" s="4"/>
      <c r="M811" s="4"/>
      <c r="N811" s="4"/>
      <c r="O811" s="4"/>
      <c r="P811" s="4"/>
      <c r="Q811" s="4"/>
      <c r="R811" s="4"/>
      <c r="S811" s="4"/>
      <c r="T811" s="4"/>
      <c r="U811" s="32"/>
      <c r="V811" s="4"/>
      <c r="W811" s="4"/>
      <c r="X811" s="33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spans="1:41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32"/>
      <c r="L812" s="4"/>
      <c r="M812" s="4"/>
      <c r="N812" s="4"/>
      <c r="O812" s="4"/>
      <c r="P812" s="4"/>
      <c r="Q812" s="4"/>
      <c r="R812" s="4"/>
      <c r="S812" s="4"/>
      <c r="T812" s="4"/>
      <c r="U812" s="32"/>
      <c r="V812" s="4"/>
      <c r="W812" s="4"/>
      <c r="X812" s="33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spans="1:41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32"/>
      <c r="L813" s="4"/>
      <c r="M813" s="4"/>
      <c r="N813" s="4"/>
      <c r="O813" s="4"/>
      <c r="P813" s="4"/>
      <c r="Q813" s="4"/>
      <c r="R813" s="4"/>
      <c r="S813" s="4"/>
      <c r="T813" s="4"/>
      <c r="U813" s="32"/>
      <c r="V813" s="4"/>
      <c r="W813" s="4"/>
      <c r="X813" s="33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spans="1:41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32"/>
      <c r="L814" s="4"/>
      <c r="M814" s="4"/>
      <c r="N814" s="4"/>
      <c r="O814" s="4"/>
      <c r="P814" s="4"/>
      <c r="Q814" s="4"/>
      <c r="R814" s="4"/>
      <c r="S814" s="4"/>
      <c r="T814" s="4"/>
      <c r="U814" s="32"/>
      <c r="V814" s="4"/>
      <c r="W814" s="4"/>
      <c r="X814" s="33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32"/>
      <c r="L815" s="4"/>
      <c r="M815" s="4"/>
      <c r="N815" s="4"/>
      <c r="O815" s="4"/>
      <c r="P815" s="4"/>
      <c r="Q815" s="4"/>
      <c r="R815" s="4"/>
      <c r="S815" s="4"/>
      <c r="T815" s="4"/>
      <c r="U815" s="32"/>
      <c r="V815" s="4"/>
      <c r="W815" s="4"/>
      <c r="X815" s="33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spans="1:41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32"/>
      <c r="L816" s="4"/>
      <c r="M816" s="4"/>
      <c r="N816" s="4"/>
      <c r="O816" s="4"/>
      <c r="P816" s="4"/>
      <c r="Q816" s="4"/>
      <c r="R816" s="4"/>
      <c r="S816" s="4"/>
      <c r="T816" s="4"/>
      <c r="U816" s="32"/>
      <c r="V816" s="4"/>
      <c r="W816" s="4"/>
      <c r="X816" s="33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spans="1:41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32"/>
      <c r="L817" s="4"/>
      <c r="M817" s="4"/>
      <c r="N817" s="4"/>
      <c r="O817" s="4"/>
      <c r="P817" s="4"/>
      <c r="Q817" s="4"/>
      <c r="R817" s="4"/>
      <c r="S817" s="4"/>
      <c r="T817" s="4"/>
      <c r="U817" s="32"/>
      <c r="V817" s="4"/>
      <c r="W817" s="4"/>
      <c r="X817" s="33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spans="1:41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32"/>
      <c r="L818" s="4"/>
      <c r="M818" s="4"/>
      <c r="N818" s="4"/>
      <c r="O818" s="4"/>
      <c r="P818" s="4"/>
      <c r="Q818" s="4"/>
      <c r="R818" s="4"/>
      <c r="S818" s="4"/>
      <c r="T818" s="4"/>
      <c r="U818" s="32"/>
      <c r="V818" s="4"/>
      <c r="W818" s="4"/>
      <c r="X818" s="33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spans="1:41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32"/>
      <c r="L819" s="4"/>
      <c r="M819" s="4"/>
      <c r="N819" s="4"/>
      <c r="O819" s="4"/>
      <c r="P819" s="4"/>
      <c r="Q819" s="4"/>
      <c r="R819" s="4"/>
      <c r="S819" s="4"/>
      <c r="T819" s="4"/>
      <c r="U819" s="32"/>
      <c r="V819" s="4"/>
      <c r="W819" s="4"/>
      <c r="X819" s="33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spans="1:41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32"/>
      <c r="L820" s="4"/>
      <c r="M820" s="4"/>
      <c r="N820" s="4"/>
      <c r="O820" s="4"/>
      <c r="P820" s="4"/>
      <c r="Q820" s="4"/>
      <c r="R820" s="4"/>
      <c r="S820" s="4"/>
      <c r="T820" s="4"/>
      <c r="U820" s="32"/>
      <c r="V820" s="4"/>
      <c r="W820" s="4"/>
      <c r="X820" s="33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spans="1:4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32"/>
      <c r="L821" s="4"/>
      <c r="M821" s="4"/>
      <c r="N821" s="4"/>
      <c r="O821" s="4"/>
      <c r="P821" s="4"/>
      <c r="Q821" s="4"/>
      <c r="R821" s="4"/>
      <c r="S821" s="4"/>
      <c r="T821" s="4"/>
      <c r="U821" s="32"/>
      <c r="V821" s="4"/>
      <c r="W821" s="4"/>
      <c r="X821" s="33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spans="1:41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32"/>
      <c r="L822" s="4"/>
      <c r="M822" s="4"/>
      <c r="N822" s="4"/>
      <c r="O822" s="4"/>
      <c r="P822" s="4"/>
      <c r="Q822" s="4"/>
      <c r="R822" s="4"/>
      <c r="S822" s="4"/>
      <c r="T822" s="4"/>
      <c r="U822" s="32"/>
      <c r="V822" s="4"/>
      <c r="W822" s="4"/>
      <c r="X822" s="33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spans="1:41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32"/>
      <c r="L823" s="4"/>
      <c r="M823" s="4"/>
      <c r="N823" s="4"/>
      <c r="O823" s="4"/>
      <c r="P823" s="4"/>
      <c r="Q823" s="4"/>
      <c r="R823" s="4"/>
      <c r="S823" s="4"/>
      <c r="T823" s="4"/>
      <c r="U823" s="32"/>
      <c r="V823" s="4"/>
      <c r="W823" s="4"/>
      <c r="X823" s="33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spans="1:41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32"/>
      <c r="L824" s="4"/>
      <c r="M824" s="4"/>
      <c r="N824" s="4"/>
      <c r="O824" s="4"/>
      <c r="P824" s="4"/>
      <c r="Q824" s="4"/>
      <c r="R824" s="4"/>
      <c r="S824" s="4"/>
      <c r="T824" s="4"/>
      <c r="U824" s="32"/>
      <c r="V824" s="4"/>
      <c r="W824" s="4"/>
      <c r="X824" s="33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spans="1:41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32"/>
      <c r="L825" s="4"/>
      <c r="M825" s="4"/>
      <c r="N825" s="4"/>
      <c r="O825" s="4"/>
      <c r="P825" s="4"/>
      <c r="Q825" s="4"/>
      <c r="R825" s="4"/>
      <c r="S825" s="4"/>
      <c r="T825" s="4"/>
      <c r="U825" s="32"/>
      <c r="V825" s="4"/>
      <c r="W825" s="4"/>
      <c r="X825" s="33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32"/>
      <c r="L826" s="4"/>
      <c r="M826" s="4"/>
      <c r="N826" s="4"/>
      <c r="O826" s="4"/>
      <c r="P826" s="4"/>
      <c r="Q826" s="4"/>
      <c r="R826" s="4"/>
      <c r="S826" s="4"/>
      <c r="T826" s="4"/>
      <c r="U826" s="32"/>
      <c r="V826" s="4"/>
      <c r="W826" s="4"/>
      <c r="X826" s="33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spans="1:41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32"/>
      <c r="L827" s="4"/>
      <c r="M827" s="4"/>
      <c r="N827" s="4"/>
      <c r="O827" s="4"/>
      <c r="P827" s="4"/>
      <c r="Q827" s="4"/>
      <c r="R827" s="4"/>
      <c r="S827" s="4"/>
      <c r="T827" s="4"/>
      <c r="U827" s="32"/>
      <c r="V827" s="4"/>
      <c r="W827" s="4"/>
      <c r="X827" s="33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spans="1:41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32"/>
      <c r="L828" s="4"/>
      <c r="M828" s="4"/>
      <c r="N828" s="4"/>
      <c r="O828" s="4"/>
      <c r="P828" s="4"/>
      <c r="Q828" s="4"/>
      <c r="R828" s="4"/>
      <c r="S828" s="4"/>
      <c r="T828" s="4"/>
      <c r="U828" s="32"/>
      <c r="V828" s="4"/>
      <c r="W828" s="4"/>
      <c r="X828" s="33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spans="1:41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32"/>
      <c r="L829" s="4"/>
      <c r="M829" s="4"/>
      <c r="N829" s="4"/>
      <c r="O829" s="4"/>
      <c r="P829" s="4"/>
      <c r="Q829" s="4"/>
      <c r="R829" s="4"/>
      <c r="S829" s="4"/>
      <c r="T829" s="4"/>
      <c r="U829" s="32"/>
      <c r="V829" s="4"/>
      <c r="W829" s="4"/>
      <c r="X829" s="33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spans="1:41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32"/>
      <c r="L830" s="4"/>
      <c r="M830" s="4"/>
      <c r="N830" s="4"/>
      <c r="O830" s="4"/>
      <c r="P830" s="4"/>
      <c r="Q830" s="4"/>
      <c r="R830" s="4"/>
      <c r="S830" s="4"/>
      <c r="T830" s="4"/>
      <c r="U830" s="32"/>
      <c r="V830" s="4"/>
      <c r="W830" s="4"/>
      <c r="X830" s="33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spans="1:4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32"/>
      <c r="L831" s="4"/>
      <c r="M831" s="4"/>
      <c r="N831" s="4"/>
      <c r="O831" s="4"/>
      <c r="P831" s="4"/>
      <c r="Q831" s="4"/>
      <c r="R831" s="4"/>
      <c r="S831" s="4"/>
      <c r="T831" s="4"/>
      <c r="U831" s="32"/>
      <c r="V831" s="4"/>
      <c r="W831" s="4"/>
      <c r="X831" s="33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spans="1:41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32"/>
      <c r="L832" s="4"/>
      <c r="M832" s="4"/>
      <c r="N832" s="4"/>
      <c r="O832" s="4"/>
      <c r="P832" s="4"/>
      <c r="Q832" s="4"/>
      <c r="R832" s="4"/>
      <c r="S832" s="4"/>
      <c r="T832" s="4"/>
      <c r="U832" s="32"/>
      <c r="V832" s="4"/>
      <c r="W832" s="4"/>
      <c r="X832" s="33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spans="1:41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32"/>
      <c r="L833" s="4"/>
      <c r="M833" s="4"/>
      <c r="N833" s="4"/>
      <c r="O833" s="4"/>
      <c r="P833" s="4"/>
      <c r="Q833" s="4"/>
      <c r="R833" s="4"/>
      <c r="S833" s="4"/>
      <c r="T833" s="4"/>
      <c r="U833" s="32"/>
      <c r="V833" s="4"/>
      <c r="W833" s="4"/>
      <c r="X833" s="33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32"/>
      <c r="L834" s="4"/>
      <c r="M834" s="4"/>
      <c r="N834" s="4"/>
      <c r="O834" s="4"/>
      <c r="P834" s="4"/>
      <c r="Q834" s="4"/>
      <c r="R834" s="4"/>
      <c r="S834" s="4"/>
      <c r="T834" s="4"/>
      <c r="U834" s="32"/>
      <c r="V834" s="4"/>
      <c r="W834" s="4"/>
      <c r="X834" s="33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spans="1:41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32"/>
      <c r="L835" s="4"/>
      <c r="M835" s="4"/>
      <c r="N835" s="4"/>
      <c r="O835" s="4"/>
      <c r="P835" s="4"/>
      <c r="Q835" s="4"/>
      <c r="R835" s="4"/>
      <c r="S835" s="4"/>
      <c r="T835" s="4"/>
      <c r="U835" s="32"/>
      <c r="V835" s="4"/>
      <c r="W835" s="4"/>
      <c r="X835" s="33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spans="1:41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32"/>
      <c r="L836" s="4"/>
      <c r="M836" s="4"/>
      <c r="N836" s="4"/>
      <c r="O836" s="4"/>
      <c r="P836" s="4"/>
      <c r="Q836" s="4"/>
      <c r="R836" s="4"/>
      <c r="S836" s="4"/>
      <c r="T836" s="4"/>
      <c r="U836" s="32"/>
      <c r="V836" s="4"/>
      <c r="W836" s="4"/>
      <c r="X836" s="33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spans="1:41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32"/>
      <c r="L837" s="4"/>
      <c r="M837" s="4"/>
      <c r="N837" s="4"/>
      <c r="O837" s="4"/>
      <c r="P837" s="4"/>
      <c r="Q837" s="4"/>
      <c r="R837" s="4"/>
      <c r="S837" s="4"/>
      <c r="T837" s="4"/>
      <c r="U837" s="32"/>
      <c r="V837" s="4"/>
      <c r="W837" s="4"/>
      <c r="X837" s="33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spans="1:41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32"/>
      <c r="L838" s="4"/>
      <c r="M838" s="4"/>
      <c r="N838" s="4"/>
      <c r="O838" s="4"/>
      <c r="P838" s="4"/>
      <c r="Q838" s="4"/>
      <c r="R838" s="4"/>
      <c r="S838" s="4"/>
      <c r="T838" s="4"/>
      <c r="U838" s="32"/>
      <c r="V838" s="4"/>
      <c r="W838" s="4"/>
      <c r="X838" s="33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spans="1:41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32"/>
      <c r="L839" s="4"/>
      <c r="M839" s="4"/>
      <c r="N839" s="4"/>
      <c r="O839" s="4"/>
      <c r="P839" s="4"/>
      <c r="Q839" s="4"/>
      <c r="R839" s="4"/>
      <c r="S839" s="4"/>
      <c r="T839" s="4"/>
      <c r="U839" s="32"/>
      <c r="V839" s="4"/>
      <c r="W839" s="4"/>
      <c r="X839" s="33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32"/>
      <c r="L840" s="4"/>
      <c r="M840" s="4"/>
      <c r="N840" s="4"/>
      <c r="O840" s="4"/>
      <c r="P840" s="4"/>
      <c r="Q840" s="4"/>
      <c r="R840" s="4"/>
      <c r="S840" s="4"/>
      <c r="T840" s="4"/>
      <c r="U840" s="32"/>
      <c r="V840" s="4"/>
      <c r="W840" s="4"/>
      <c r="X840" s="33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spans="1: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32"/>
      <c r="L841" s="4"/>
      <c r="M841" s="4"/>
      <c r="N841" s="4"/>
      <c r="O841" s="4"/>
      <c r="P841" s="4"/>
      <c r="Q841" s="4"/>
      <c r="R841" s="4"/>
      <c r="S841" s="4"/>
      <c r="T841" s="4"/>
      <c r="U841" s="32"/>
      <c r="V841" s="4"/>
      <c r="W841" s="4"/>
      <c r="X841" s="33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spans="1:41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32"/>
      <c r="L842" s="4"/>
      <c r="M842" s="4"/>
      <c r="N842" s="4"/>
      <c r="O842" s="4"/>
      <c r="P842" s="4"/>
      <c r="Q842" s="4"/>
      <c r="R842" s="4"/>
      <c r="S842" s="4"/>
      <c r="T842" s="4"/>
      <c r="U842" s="32"/>
      <c r="V842" s="4"/>
      <c r="W842" s="4"/>
      <c r="X842" s="33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spans="1:41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32"/>
      <c r="L843" s="4"/>
      <c r="M843" s="4"/>
      <c r="N843" s="4"/>
      <c r="O843" s="4"/>
      <c r="P843" s="4"/>
      <c r="Q843" s="4"/>
      <c r="R843" s="4"/>
      <c r="S843" s="4"/>
      <c r="T843" s="4"/>
      <c r="U843" s="32"/>
      <c r="V843" s="4"/>
      <c r="W843" s="4"/>
      <c r="X843" s="33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spans="1:41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32"/>
      <c r="L844" s="4"/>
      <c r="M844" s="4"/>
      <c r="N844" s="4"/>
      <c r="O844" s="4"/>
      <c r="P844" s="4"/>
      <c r="Q844" s="4"/>
      <c r="R844" s="4"/>
      <c r="S844" s="4"/>
      <c r="T844" s="4"/>
      <c r="U844" s="32"/>
      <c r="V844" s="4"/>
      <c r="W844" s="4"/>
      <c r="X844" s="33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spans="1:41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32"/>
      <c r="L845" s="4"/>
      <c r="M845" s="4"/>
      <c r="N845" s="4"/>
      <c r="O845" s="4"/>
      <c r="P845" s="4"/>
      <c r="Q845" s="4"/>
      <c r="R845" s="4"/>
      <c r="S845" s="4"/>
      <c r="T845" s="4"/>
      <c r="U845" s="32"/>
      <c r="V845" s="4"/>
      <c r="W845" s="4"/>
      <c r="X845" s="33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spans="1:41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32"/>
      <c r="L846" s="4"/>
      <c r="M846" s="4"/>
      <c r="N846" s="4"/>
      <c r="O846" s="4"/>
      <c r="P846" s="4"/>
      <c r="Q846" s="4"/>
      <c r="R846" s="4"/>
      <c r="S846" s="4"/>
      <c r="T846" s="4"/>
      <c r="U846" s="32"/>
      <c r="V846" s="4"/>
      <c r="W846" s="4"/>
      <c r="X846" s="33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spans="1:41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32"/>
      <c r="L847" s="4"/>
      <c r="M847" s="4"/>
      <c r="N847" s="4"/>
      <c r="O847" s="4"/>
      <c r="P847" s="4"/>
      <c r="Q847" s="4"/>
      <c r="R847" s="4"/>
      <c r="S847" s="4"/>
      <c r="T847" s="4"/>
      <c r="U847" s="32"/>
      <c r="V847" s="4"/>
      <c r="W847" s="4"/>
      <c r="X847" s="33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spans="1:41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32"/>
      <c r="L848" s="4"/>
      <c r="M848" s="4"/>
      <c r="N848" s="4"/>
      <c r="O848" s="4"/>
      <c r="P848" s="4"/>
      <c r="Q848" s="4"/>
      <c r="R848" s="4"/>
      <c r="S848" s="4"/>
      <c r="T848" s="4"/>
      <c r="U848" s="32"/>
      <c r="V848" s="4"/>
      <c r="W848" s="4"/>
      <c r="X848" s="33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spans="1:41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32"/>
      <c r="L849" s="4"/>
      <c r="M849" s="4"/>
      <c r="N849" s="4"/>
      <c r="O849" s="4"/>
      <c r="P849" s="4"/>
      <c r="Q849" s="4"/>
      <c r="R849" s="4"/>
      <c r="S849" s="4"/>
      <c r="T849" s="4"/>
      <c r="U849" s="32"/>
      <c r="V849" s="4"/>
      <c r="W849" s="4"/>
      <c r="X849" s="33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spans="1:41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32"/>
      <c r="L850" s="4"/>
      <c r="M850" s="4"/>
      <c r="N850" s="4"/>
      <c r="O850" s="4"/>
      <c r="P850" s="4"/>
      <c r="Q850" s="4"/>
      <c r="R850" s="4"/>
      <c r="S850" s="4"/>
      <c r="T850" s="4"/>
      <c r="U850" s="32"/>
      <c r="V850" s="4"/>
      <c r="W850" s="4"/>
      <c r="X850" s="33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spans="1:4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32"/>
      <c r="L851" s="4"/>
      <c r="M851" s="4"/>
      <c r="N851" s="4"/>
      <c r="O851" s="4"/>
      <c r="P851" s="4"/>
      <c r="Q851" s="4"/>
      <c r="R851" s="4"/>
      <c r="S851" s="4"/>
      <c r="T851" s="4"/>
      <c r="U851" s="32"/>
      <c r="V851" s="4"/>
      <c r="W851" s="4"/>
      <c r="X851" s="33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spans="1:41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32"/>
      <c r="L852" s="4"/>
      <c r="M852" s="4"/>
      <c r="N852" s="4"/>
      <c r="O852" s="4"/>
      <c r="P852" s="4"/>
      <c r="Q852" s="4"/>
      <c r="R852" s="4"/>
      <c r="S852" s="4"/>
      <c r="T852" s="4"/>
      <c r="U852" s="32"/>
      <c r="V852" s="4"/>
      <c r="W852" s="4"/>
      <c r="X852" s="33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spans="1:41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32"/>
      <c r="L853" s="4"/>
      <c r="M853" s="4"/>
      <c r="N853" s="4"/>
      <c r="O853" s="4"/>
      <c r="P853" s="4"/>
      <c r="Q853" s="4"/>
      <c r="R853" s="4"/>
      <c r="S853" s="4"/>
      <c r="T853" s="4"/>
      <c r="U853" s="32"/>
      <c r="V853" s="4"/>
      <c r="W853" s="4"/>
      <c r="X853" s="33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spans="1:41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32"/>
      <c r="L854" s="4"/>
      <c r="M854" s="4"/>
      <c r="N854" s="4"/>
      <c r="O854" s="4"/>
      <c r="P854" s="4"/>
      <c r="Q854" s="4"/>
      <c r="R854" s="4"/>
      <c r="S854" s="4"/>
      <c r="T854" s="4"/>
      <c r="U854" s="32"/>
      <c r="V854" s="4"/>
      <c r="W854" s="4"/>
      <c r="X854" s="33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spans="1:41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32"/>
      <c r="L855" s="4"/>
      <c r="M855" s="4"/>
      <c r="N855" s="4"/>
      <c r="O855" s="4"/>
      <c r="P855" s="4"/>
      <c r="Q855" s="4"/>
      <c r="R855" s="4"/>
      <c r="S855" s="4"/>
      <c r="T855" s="4"/>
      <c r="U855" s="32"/>
      <c r="V855" s="4"/>
      <c r="W855" s="4"/>
      <c r="X855" s="33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spans="1:41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32"/>
      <c r="L856" s="4"/>
      <c r="M856" s="4"/>
      <c r="N856" s="4"/>
      <c r="O856" s="4"/>
      <c r="P856" s="4"/>
      <c r="Q856" s="4"/>
      <c r="R856" s="4"/>
      <c r="S856" s="4"/>
      <c r="T856" s="4"/>
      <c r="U856" s="32"/>
      <c r="V856" s="4"/>
      <c r="W856" s="4"/>
      <c r="X856" s="33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spans="1:41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32"/>
      <c r="L857" s="4"/>
      <c r="M857" s="4"/>
      <c r="N857" s="4"/>
      <c r="O857" s="4"/>
      <c r="P857" s="4"/>
      <c r="Q857" s="4"/>
      <c r="R857" s="4"/>
      <c r="S857" s="4"/>
      <c r="T857" s="4"/>
      <c r="U857" s="32"/>
      <c r="V857" s="4"/>
      <c r="W857" s="4"/>
      <c r="X857" s="33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spans="1:41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32"/>
      <c r="L858" s="4"/>
      <c r="M858" s="4"/>
      <c r="N858" s="4"/>
      <c r="O858" s="4"/>
      <c r="P858" s="4"/>
      <c r="Q858" s="4"/>
      <c r="R858" s="4"/>
      <c r="S858" s="4"/>
      <c r="T858" s="4"/>
      <c r="U858" s="32"/>
      <c r="V858" s="4"/>
      <c r="W858" s="4"/>
      <c r="X858" s="33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spans="1:41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32"/>
      <c r="L859" s="4"/>
      <c r="M859" s="4"/>
      <c r="N859" s="4"/>
      <c r="O859" s="4"/>
      <c r="P859" s="4"/>
      <c r="Q859" s="4"/>
      <c r="R859" s="4"/>
      <c r="S859" s="4"/>
      <c r="T859" s="4"/>
      <c r="U859" s="32"/>
      <c r="V859" s="4"/>
      <c r="W859" s="4"/>
      <c r="X859" s="33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spans="1:41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32"/>
      <c r="L860" s="4"/>
      <c r="M860" s="4"/>
      <c r="N860" s="4"/>
      <c r="O860" s="4"/>
      <c r="P860" s="4"/>
      <c r="Q860" s="4"/>
      <c r="R860" s="4"/>
      <c r="S860" s="4"/>
      <c r="T860" s="4"/>
      <c r="U860" s="32"/>
      <c r="V860" s="4"/>
      <c r="W860" s="4"/>
      <c r="X860" s="33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spans="1:4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32"/>
      <c r="L861" s="4"/>
      <c r="M861" s="4"/>
      <c r="N861" s="4"/>
      <c r="O861" s="4"/>
      <c r="P861" s="4"/>
      <c r="Q861" s="4"/>
      <c r="R861" s="4"/>
      <c r="S861" s="4"/>
      <c r="T861" s="4"/>
      <c r="U861" s="32"/>
      <c r="V861" s="4"/>
      <c r="W861" s="4"/>
      <c r="X861" s="33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spans="1:41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32"/>
      <c r="L862" s="4"/>
      <c r="M862" s="4"/>
      <c r="N862" s="4"/>
      <c r="O862" s="4"/>
      <c r="P862" s="4"/>
      <c r="Q862" s="4"/>
      <c r="R862" s="4"/>
      <c r="S862" s="4"/>
      <c r="T862" s="4"/>
      <c r="U862" s="32"/>
      <c r="V862" s="4"/>
      <c r="W862" s="4"/>
      <c r="X862" s="33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spans="1:41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32"/>
      <c r="L863" s="4"/>
      <c r="M863" s="4"/>
      <c r="N863" s="4"/>
      <c r="O863" s="4"/>
      <c r="P863" s="4"/>
      <c r="Q863" s="4"/>
      <c r="R863" s="4"/>
      <c r="S863" s="4"/>
      <c r="T863" s="4"/>
      <c r="U863" s="32"/>
      <c r="V863" s="4"/>
      <c r="W863" s="4"/>
      <c r="X863" s="33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spans="1:41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32"/>
      <c r="L864" s="4"/>
      <c r="M864" s="4"/>
      <c r="N864" s="4"/>
      <c r="O864" s="4"/>
      <c r="P864" s="4"/>
      <c r="Q864" s="4"/>
      <c r="R864" s="4"/>
      <c r="S864" s="4"/>
      <c r="T864" s="4"/>
      <c r="U864" s="32"/>
      <c r="V864" s="4"/>
      <c r="W864" s="4"/>
      <c r="X864" s="33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spans="1:41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32"/>
      <c r="L865" s="4"/>
      <c r="M865" s="4"/>
      <c r="N865" s="4"/>
      <c r="O865" s="4"/>
      <c r="P865" s="4"/>
      <c r="Q865" s="4"/>
      <c r="R865" s="4"/>
      <c r="S865" s="4"/>
      <c r="T865" s="4"/>
      <c r="U865" s="32"/>
      <c r="V865" s="4"/>
      <c r="W865" s="4"/>
      <c r="X865" s="33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spans="1:41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32"/>
      <c r="L866" s="4"/>
      <c r="M866" s="4"/>
      <c r="N866" s="4"/>
      <c r="O866" s="4"/>
      <c r="P866" s="4"/>
      <c r="Q866" s="4"/>
      <c r="R866" s="4"/>
      <c r="S866" s="4"/>
      <c r="T866" s="4"/>
      <c r="U866" s="32"/>
      <c r="V866" s="4"/>
      <c r="W866" s="4"/>
      <c r="X866" s="33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spans="1:41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32"/>
      <c r="L867" s="4"/>
      <c r="M867" s="4"/>
      <c r="N867" s="4"/>
      <c r="O867" s="4"/>
      <c r="P867" s="4"/>
      <c r="Q867" s="4"/>
      <c r="R867" s="4"/>
      <c r="S867" s="4"/>
      <c r="T867" s="4"/>
      <c r="U867" s="32"/>
      <c r="V867" s="4"/>
      <c r="W867" s="4"/>
      <c r="X867" s="33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spans="1:41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32"/>
      <c r="L868" s="4"/>
      <c r="M868" s="4"/>
      <c r="N868" s="4"/>
      <c r="O868" s="4"/>
      <c r="P868" s="4"/>
      <c r="Q868" s="4"/>
      <c r="R868" s="4"/>
      <c r="S868" s="4"/>
      <c r="T868" s="4"/>
      <c r="U868" s="32"/>
      <c r="V868" s="4"/>
      <c r="W868" s="4"/>
      <c r="X868" s="33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spans="1:41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32"/>
      <c r="L869" s="4"/>
      <c r="M869" s="4"/>
      <c r="N869" s="4"/>
      <c r="O869" s="4"/>
      <c r="P869" s="4"/>
      <c r="Q869" s="4"/>
      <c r="R869" s="4"/>
      <c r="S869" s="4"/>
      <c r="T869" s="4"/>
      <c r="U869" s="32"/>
      <c r="V869" s="4"/>
      <c r="W869" s="4"/>
      <c r="X869" s="33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spans="1:41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32"/>
      <c r="L870" s="4"/>
      <c r="M870" s="4"/>
      <c r="N870" s="4"/>
      <c r="O870" s="4"/>
      <c r="P870" s="4"/>
      <c r="Q870" s="4"/>
      <c r="R870" s="4"/>
      <c r="S870" s="4"/>
      <c r="T870" s="4"/>
      <c r="U870" s="32"/>
      <c r="V870" s="4"/>
      <c r="W870" s="4"/>
      <c r="X870" s="33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spans="1:4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32"/>
      <c r="L871" s="4"/>
      <c r="M871" s="4"/>
      <c r="N871" s="4"/>
      <c r="O871" s="4"/>
      <c r="P871" s="4"/>
      <c r="Q871" s="4"/>
      <c r="R871" s="4"/>
      <c r="S871" s="4"/>
      <c r="T871" s="4"/>
      <c r="U871" s="32"/>
      <c r="V871" s="4"/>
      <c r="W871" s="4"/>
      <c r="X871" s="33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spans="1:41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32"/>
      <c r="L872" s="4"/>
      <c r="M872" s="4"/>
      <c r="N872" s="4"/>
      <c r="O872" s="4"/>
      <c r="P872" s="4"/>
      <c r="Q872" s="4"/>
      <c r="R872" s="4"/>
      <c r="S872" s="4"/>
      <c r="T872" s="4"/>
      <c r="U872" s="32"/>
      <c r="V872" s="4"/>
      <c r="W872" s="4"/>
      <c r="X872" s="33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spans="1:41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32"/>
      <c r="L873" s="4"/>
      <c r="M873" s="4"/>
      <c r="N873" s="4"/>
      <c r="O873" s="4"/>
      <c r="P873" s="4"/>
      <c r="Q873" s="4"/>
      <c r="R873" s="4"/>
      <c r="S873" s="4"/>
      <c r="T873" s="4"/>
      <c r="U873" s="32"/>
      <c r="V873" s="4"/>
      <c r="W873" s="4"/>
      <c r="X873" s="33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spans="1:41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32"/>
      <c r="L874" s="4"/>
      <c r="M874" s="4"/>
      <c r="N874" s="4"/>
      <c r="O874" s="4"/>
      <c r="P874" s="4"/>
      <c r="Q874" s="4"/>
      <c r="R874" s="4"/>
      <c r="S874" s="4"/>
      <c r="T874" s="4"/>
      <c r="U874" s="32"/>
      <c r="V874" s="4"/>
      <c r="W874" s="4"/>
      <c r="X874" s="33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spans="1:41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32"/>
      <c r="L875" s="4"/>
      <c r="M875" s="4"/>
      <c r="N875" s="4"/>
      <c r="O875" s="4"/>
      <c r="P875" s="4"/>
      <c r="Q875" s="4"/>
      <c r="R875" s="4"/>
      <c r="S875" s="4"/>
      <c r="T875" s="4"/>
      <c r="U875" s="32"/>
      <c r="V875" s="4"/>
      <c r="W875" s="4"/>
      <c r="X875" s="33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spans="1:41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32"/>
      <c r="L876" s="4"/>
      <c r="M876" s="4"/>
      <c r="N876" s="4"/>
      <c r="O876" s="4"/>
      <c r="P876" s="4"/>
      <c r="Q876" s="4"/>
      <c r="R876" s="4"/>
      <c r="S876" s="4"/>
      <c r="T876" s="4"/>
      <c r="U876" s="32"/>
      <c r="V876" s="4"/>
      <c r="W876" s="4"/>
      <c r="X876" s="33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spans="1:41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32"/>
      <c r="L877" s="4"/>
      <c r="M877" s="4"/>
      <c r="N877" s="4"/>
      <c r="O877" s="4"/>
      <c r="P877" s="4"/>
      <c r="Q877" s="4"/>
      <c r="R877" s="4"/>
      <c r="S877" s="4"/>
      <c r="T877" s="4"/>
      <c r="U877" s="32"/>
      <c r="V877" s="4"/>
      <c r="W877" s="4"/>
      <c r="X877" s="33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spans="1:41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32"/>
      <c r="L878" s="4"/>
      <c r="M878" s="4"/>
      <c r="N878" s="4"/>
      <c r="O878" s="4"/>
      <c r="P878" s="4"/>
      <c r="Q878" s="4"/>
      <c r="R878" s="4"/>
      <c r="S878" s="4"/>
      <c r="T878" s="4"/>
      <c r="U878" s="32"/>
      <c r="V878" s="4"/>
      <c r="W878" s="4"/>
      <c r="X878" s="33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spans="1:41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32"/>
      <c r="L879" s="4"/>
      <c r="M879" s="4"/>
      <c r="N879" s="4"/>
      <c r="O879" s="4"/>
      <c r="P879" s="4"/>
      <c r="Q879" s="4"/>
      <c r="R879" s="4"/>
      <c r="S879" s="4"/>
      <c r="T879" s="4"/>
      <c r="U879" s="32"/>
      <c r="V879" s="4"/>
      <c r="W879" s="4"/>
      <c r="X879" s="33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spans="1:41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32"/>
      <c r="L880" s="4"/>
      <c r="M880" s="4"/>
      <c r="N880" s="4"/>
      <c r="O880" s="4"/>
      <c r="P880" s="4"/>
      <c r="Q880" s="4"/>
      <c r="R880" s="4"/>
      <c r="S880" s="4"/>
      <c r="T880" s="4"/>
      <c r="U880" s="32"/>
      <c r="V880" s="4"/>
      <c r="W880" s="4"/>
      <c r="X880" s="33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spans="1:4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32"/>
      <c r="L881" s="4"/>
      <c r="M881" s="4"/>
      <c r="N881" s="4"/>
      <c r="O881" s="4"/>
      <c r="P881" s="4"/>
      <c r="Q881" s="4"/>
      <c r="R881" s="4"/>
      <c r="S881" s="4"/>
      <c r="T881" s="4"/>
      <c r="U881" s="32"/>
      <c r="V881" s="4"/>
      <c r="W881" s="4"/>
      <c r="X881" s="33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spans="1:41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32"/>
      <c r="L882" s="4"/>
      <c r="M882" s="4"/>
      <c r="N882" s="4"/>
      <c r="O882" s="4"/>
      <c r="P882" s="4"/>
      <c r="Q882" s="4"/>
      <c r="R882" s="4"/>
      <c r="S882" s="4"/>
      <c r="T882" s="4"/>
      <c r="U882" s="32"/>
      <c r="V882" s="4"/>
      <c r="W882" s="4"/>
      <c r="X882" s="33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spans="1:41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32"/>
      <c r="L883" s="4"/>
      <c r="M883" s="4"/>
      <c r="N883" s="4"/>
      <c r="O883" s="4"/>
      <c r="P883" s="4"/>
      <c r="Q883" s="4"/>
      <c r="R883" s="4"/>
      <c r="S883" s="4"/>
      <c r="T883" s="4"/>
      <c r="U883" s="32"/>
      <c r="V883" s="4"/>
      <c r="W883" s="4"/>
      <c r="X883" s="33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spans="1:41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32"/>
      <c r="L884" s="4"/>
      <c r="M884" s="4"/>
      <c r="N884" s="4"/>
      <c r="O884" s="4"/>
      <c r="P884" s="4"/>
      <c r="Q884" s="4"/>
      <c r="R884" s="4"/>
      <c r="S884" s="4"/>
      <c r="T884" s="4"/>
      <c r="U884" s="32"/>
      <c r="V884" s="4"/>
      <c r="W884" s="4"/>
      <c r="X884" s="33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spans="1:41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32"/>
      <c r="L885" s="4"/>
      <c r="M885" s="4"/>
      <c r="N885" s="4"/>
      <c r="O885" s="4"/>
      <c r="P885" s="4"/>
      <c r="Q885" s="4"/>
      <c r="R885" s="4"/>
      <c r="S885" s="4"/>
      <c r="T885" s="4"/>
      <c r="U885" s="32"/>
      <c r="V885" s="4"/>
      <c r="W885" s="4"/>
      <c r="X885" s="33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spans="1:41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32"/>
      <c r="L886" s="4"/>
      <c r="M886" s="4"/>
      <c r="N886" s="4"/>
      <c r="O886" s="4"/>
      <c r="P886" s="4"/>
      <c r="Q886" s="4"/>
      <c r="R886" s="4"/>
      <c r="S886" s="4"/>
      <c r="T886" s="4"/>
      <c r="U886" s="32"/>
      <c r="V886" s="4"/>
      <c r="W886" s="4"/>
      <c r="X886" s="33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spans="1:41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32"/>
      <c r="L887" s="4"/>
      <c r="M887" s="4"/>
      <c r="N887" s="4"/>
      <c r="O887" s="4"/>
      <c r="P887" s="4"/>
      <c r="Q887" s="4"/>
      <c r="R887" s="4"/>
      <c r="S887" s="4"/>
      <c r="T887" s="4"/>
      <c r="U887" s="32"/>
      <c r="V887" s="4"/>
      <c r="W887" s="4"/>
      <c r="X887" s="33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spans="1:41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32"/>
      <c r="L888" s="4"/>
      <c r="M888" s="4"/>
      <c r="N888" s="4"/>
      <c r="O888" s="4"/>
      <c r="P888" s="4"/>
      <c r="Q888" s="4"/>
      <c r="R888" s="4"/>
      <c r="S888" s="4"/>
      <c r="T888" s="4"/>
      <c r="U888" s="32"/>
      <c r="V888" s="4"/>
      <c r="W888" s="4"/>
      <c r="X888" s="33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spans="1:41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32"/>
      <c r="L889" s="4"/>
      <c r="M889" s="4"/>
      <c r="N889" s="4"/>
      <c r="O889" s="4"/>
      <c r="P889" s="4"/>
      <c r="Q889" s="4"/>
      <c r="R889" s="4"/>
      <c r="S889" s="4"/>
      <c r="T889" s="4"/>
      <c r="U889" s="32"/>
      <c r="V889" s="4"/>
      <c r="W889" s="4"/>
      <c r="X889" s="33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spans="1:41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32"/>
      <c r="L890" s="4"/>
      <c r="M890" s="4"/>
      <c r="N890" s="4"/>
      <c r="O890" s="4"/>
      <c r="P890" s="4"/>
      <c r="Q890" s="4"/>
      <c r="R890" s="4"/>
      <c r="S890" s="4"/>
      <c r="T890" s="4"/>
      <c r="U890" s="32"/>
      <c r="V890" s="4"/>
      <c r="W890" s="4"/>
      <c r="X890" s="33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spans="1:4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32"/>
      <c r="L891" s="4"/>
      <c r="M891" s="4"/>
      <c r="N891" s="4"/>
      <c r="O891" s="4"/>
      <c r="P891" s="4"/>
      <c r="Q891" s="4"/>
      <c r="R891" s="4"/>
      <c r="S891" s="4"/>
      <c r="T891" s="4"/>
      <c r="U891" s="32"/>
      <c r="V891" s="4"/>
      <c r="W891" s="4"/>
      <c r="X891" s="33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spans="1:41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32"/>
      <c r="L892" s="4"/>
      <c r="M892" s="4"/>
      <c r="N892" s="4"/>
      <c r="O892" s="4"/>
      <c r="P892" s="4"/>
      <c r="Q892" s="4"/>
      <c r="R892" s="4"/>
      <c r="S892" s="4"/>
      <c r="T892" s="4"/>
      <c r="U892" s="32"/>
      <c r="V892" s="4"/>
      <c r="W892" s="4"/>
      <c r="X892" s="33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spans="1:41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32"/>
      <c r="L893" s="4"/>
      <c r="M893" s="4"/>
      <c r="N893" s="4"/>
      <c r="O893" s="4"/>
      <c r="P893" s="4"/>
      <c r="Q893" s="4"/>
      <c r="R893" s="4"/>
      <c r="S893" s="4"/>
      <c r="T893" s="4"/>
      <c r="U893" s="32"/>
      <c r="V893" s="4"/>
      <c r="W893" s="4"/>
      <c r="X893" s="33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spans="1:41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32"/>
      <c r="L894" s="4"/>
      <c r="M894" s="4"/>
      <c r="N894" s="4"/>
      <c r="O894" s="4"/>
      <c r="P894" s="4"/>
      <c r="Q894" s="4"/>
      <c r="R894" s="4"/>
      <c r="S894" s="4"/>
      <c r="T894" s="4"/>
      <c r="U894" s="32"/>
      <c r="V894" s="4"/>
      <c r="W894" s="4"/>
      <c r="X894" s="33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spans="1:41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32"/>
      <c r="L895" s="4"/>
      <c r="M895" s="4"/>
      <c r="N895" s="4"/>
      <c r="O895" s="4"/>
      <c r="P895" s="4"/>
      <c r="Q895" s="4"/>
      <c r="R895" s="4"/>
      <c r="S895" s="4"/>
      <c r="T895" s="4"/>
      <c r="U895" s="32"/>
      <c r="V895" s="4"/>
      <c r="W895" s="4"/>
      <c r="X895" s="33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spans="1:41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32"/>
      <c r="L896" s="4"/>
      <c r="M896" s="4"/>
      <c r="N896" s="4"/>
      <c r="O896" s="4"/>
      <c r="P896" s="4"/>
      <c r="Q896" s="4"/>
      <c r="R896" s="4"/>
      <c r="S896" s="4"/>
      <c r="T896" s="4"/>
      <c r="U896" s="32"/>
      <c r="V896" s="4"/>
      <c r="W896" s="4"/>
      <c r="X896" s="33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spans="1:41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32"/>
      <c r="L897" s="4"/>
      <c r="M897" s="4"/>
      <c r="N897" s="4"/>
      <c r="O897" s="4"/>
      <c r="P897" s="4"/>
      <c r="Q897" s="4"/>
      <c r="R897" s="4"/>
      <c r="S897" s="4"/>
      <c r="T897" s="4"/>
      <c r="U897" s="32"/>
      <c r="V897" s="4"/>
      <c r="W897" s="4"/>
      <c r="X897" s="33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spans="1:41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32"/>
      <c r="L898" s="4"/>
      <c r="M898" s="4"/>
      <c r="N898" s="4"/>
      <c r="O898" s="4"/>
      <c r="P898" s="4"/>
      <c r="Q898" s="4"/>
      <c r="R898" s="4"/>
      <c r="S898" s="4"/>
      <c r="T898" s="4"/>
      <c r="U898" s="32"/>
      <c r="V898" s="4"/>
      <c r="W898" s="4"/>
      <c r="X898" s="33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spans="1:41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32"/>
      <c r="L899" s="4"/>
      <c r="M899" s="4"/>
      <c r="N899" s="4"/>
      <c r="O899" s="4"/>
      <c r="P899" s="4"/>
      <c r="Q899" s="4"/>
      <c r="R899" s="4"/>
      <c r="S899" s="4"/>
      <c r="T899" s="4"/>
      <c r="U899" s="32"/>
      <c r="V899" s="4"/>
      <c r="W899" s="4"/>
      <c r="X899" s="33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spans="1:41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32"/>
      <c r="L900" s="4"/>
      <c r="M900" s="4"/>
      <c r="N900" s="4"/>
      <c r="O900" s="4"/>
      <c r="P900" s="4"/>
      <c r="Q900" s="4"/>
      <c r="R900" s="4"/>
      <c r="S900" s="4"/>
      <c r="T900" s="4"/>
      <c r="U900" s="32"/>
      <c r="V900" s="4"/>
      <c r="W900" s="4"/>
      <c r="X900" s="33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spans="1:4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32"/>
      <c r="L901" s="4"/>
      <c r="M901" s="4"/>
      <c r="N901" s="4"/>
      <c r="O901" s="4"/>
      <c r="P901" s="4"/>
      <c r="Q901" s="4"/>
      <c r="R901" s="4"/>
      <c r="S901" s="4"/>
      <c r="T901" s="4"/>
      <c r="U901" s="32"/>
      <c r="V901" s="4"/>
      <c r="W901" s="4"/>
      <c r="X901" s="33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spans="1:41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32"/>
      <c r="L902" s="4"/>
      <c r="M902" s="4"/>
      <c r="N902" s="4"/>
      <c r="O902" s="4"/>
      <c r="P902" s="4"/>
      <c r="Q902" s="4"/>
      <c r="R902" s="4"/>
      <c r="S902" s="4"/>
      <c r="T902" s="4"/>
      <c r="U902" s="32"/>
      <c r="V902" s="4"/>
      <c r="W902" s="4"/>
      <c r="X902" s="33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spans="1:41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32"/>
      <c r="L903" s="4"/>
      <c r="M903" s="4"/>
      <c r="N903" s="4"/>
      <c r="O903" s="4"/>
      <c r="P903" s="4"/>
      <c r="Q903" s="4"/>
      <c r="R903" s="4"/>
      <c r="S903" s="4"/>
      <c r="T903" s="4"/>
      <c r="U903" s="32"/>
      <c r="V903" s="4"/>
      <c r="W903" s="4"/>
      <c r="X903" s="33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spans="1:41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32"/>
      <c r="L904" s="4"/>
      <c r="M904" s="4"/>
      <c r="N904" s="4"/>
      <c r="O904" s="4"/>
      <c r="P904" s="4"/>
      <c r="Q904" s="4"/>
      <c r="R904" s="4"/>
      <c r="S904" s="4"/>
      <c r="T904" s="4"/>
      <c r="U904" s="32"/>
      <c r="V904" s="4"/>
      <c r="W904" s="4"/>
      <c r="X904" s="33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spans="1:41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32"/>
      <c r="L905" s="4"/>
      <c r="M905" s="4"/>
      <c r="N905" s="4"/>
      <c r="O905" s="4"/>
      <c r="P905" s="4"/>
      <c r="Q905" s="4"/>
      <c r="R905" s="4"/>
      <c r="S905" s="4"/>
      <c r="T905" s="4"/>
      <c r="U905" s="32"/>
      <c r="V905" s="4"/>
      <c r="W905" s="4"/>
      <c r="X905" s="33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spans="1:41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32"/>
      <c r="L906" s="4"/>
      <c r="M906" s="4"/>
      <c r="N906" s="4"/>
      <c r="O906" s="4"/>
      <c r="P906" s="4"/>
      <c r="Q906" s="4"/>
      <c r="R906" s="4"/>
      <c r="S906" s="4"/>
      <c r="T906" s="4"/>
      <c r="U906" s="32"/>
      <c r="V906" s="4"/>
      <c r="W906" s="4"/>
      <c r="X906" s="33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spans="1:41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32"/>
      <c r="L907" s="4"/>
      <c r="M907" s="4"/>
      <c r="N907" s="4"/>
      <c r="O907" s="4"/>
      <c r="P907" s="4"/>
      <c r="Q907" s="4"/>
      <c r="R907" s="4"/>
      <c r="S907" s="4"/>
      <c r="T907" s="4"/>
      <c r="U907" s="32"/>
      <c r="V907" s="4"/>
      <c r="W907" s="4"/>
      <c r="X907" s="33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spans="1:41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32"/>
      <c r="L908" s="4"/>
      <c r="M908" s="4"/>
      <c r="N908" s="4"/>
      <c r="O908" s="4"/>
      <c r="P908" s="4"/>
      <c r="Q908" s="4"/>
      <c r="R908" s="4"/>
      <c r="S908" s="4"/>
      <c r="T908" s="4"/>
      <c r="U908" s="32"/>
      <c r="V908" s="4"/>
      <c r="W908" s="4"/>
      <c r="X908" s="33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spans="1:41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32"/>
      <c r="L909" s="4"/>
      <c r="M909" s="4"/>
      <c r="N909" s="4"/>
      <c r="O909" s="4"/>
      <c r="P909" s="4"/>
      <c r="Q909" s="4"/>
      <c r="R909" s="4"/>
      <c r="S909" s="4"/>
      <c r="T909" s="4"/>
      <c r="U909" s="32"/>
      <c r="V909" s="4"/>
      <c r="W909" s="4"/>
      <c r="X909" s="33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spans="1:41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32"/>
      <c r="L910" s="4"/>
      <c r="M910" s="4"/>
      <c r="N910" s="4"/>
      <c r="O910" s="4"/>
      <c r="P910" s="4"/>
      <c r="Q910" s="4"/>
      <c r="R910" s="4"/>
      <c r="S910" s="4"/>
      <c r="T910" s="4"/>
      <c r="U910" s="32"/>
      <c r="V910" s="4"/>
      <c r="W910" s="4"/>
      <c r="X910" s="33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spans="1:4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32"/>
      <c r="L911" s="4"/>
      <c r="M911" s="4"/>
      <c r="N911" s="4"/>
      <c r="O911" s="4"/>
      <c r="P911" s="4"/>
      <c r="Q911" s="4"/>
      <c r="R911" s="4"/>
      <c r="S911" s="4"/>
      <c r="T911" s="4"/>
      <c r="U911" s="32"/>
      <c r="V911" s="4"/>
      <c r="W911" s="4"/>
      <c r="X911" s="33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spans="1:41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32"/>
      <c r="L912" s="4"/>
      <c r="M912" s="4"/>
      <c r="N912" s="4"/>
      <c r="O912" s="4"/>
      <c r="P912" s="4"/>
      <c r="Q912" s="4"/>
      <c r="R912" s="4"/>
      <c r="S912" s="4"/>
      <c r="T912" s="4"/>
      <c r="U912" s="32"/>
      <c r="V912" s="4"/>
      <c r="W912" s="4"/>
      <c r="X912" s="33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spans="1:41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32"/>
      <c r="L913" s="4"/>
      <c r="M913" s="4"/>
      <c r="N913" s="4"/>
      <c r="O913" s="4"/>
      <c r="P913" s="4"/>
      <c r="Q913" s="4"/>
      <c r="R913" s="4"/>
      <c r="S913" s="4"/>
      <c r="T913" s="4"/>
      <c r="U913" s="32"/>
      <c r="V913" s="4"/>
      <c r="W913" s="4"/>
      <c r="X913" s="33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spans="1:41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32"/>
      <c r="L914" s="4"/>
      <c r="M914" s="4"/>
      <c r="N914" s="4"/>
      <c r="O914" s="4"/>
      <c r="P914" s="4"/>
      <c r="Q914" s="4"/>
      <c r="R914" s="4"/>
      <c r="S914" s="4"/>
      <c r="T914" s="4"/>
      <c r="U914" s="32"/>
      <c r="V914" s="4"/>
      <c r="W914" s="4"/>
      <c r="X914" s="33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spans="1:41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32"/>
      <c r="L915" s="4"/>
      <c r="M915" s="4"/>
      <c r="N915" s="4"/>
      <c r="O915" s="4"/>
      <c r="P915" s="4"/>
      <c r="Q915" s="4"/>
      <c r="R915" s="4"/>
      <c r="S915" s="4"/>
      <c r="T915" s="4"/>
      <c r="U915" s="32"/>
      <c r="V915" s="4"/>
      <c r="W915" s="4"/>
      <c r="X915" s="33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spans="1:41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32"/>
      <c r="L916" s="4"/>
      <c r="M916" s="4"/>
      <c r="N916" s="4"/>
      <c r="O916" s="4"/>
      <c r="P916" s="4"/>
      <c r="Q916" s="4"/>
      <c r="R916" s="4"/>
      <c r="S916" s="4"/>
      <c r="T916" s="4"/>
      <c r="U916" s="32"/>
      <c r="V916" s="4"/>
      <c r="W916" s="4"/>
      <c r="X916" s="33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spans="1:41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32"/>
      <c r="L917" s="4"/>
      <c r="M917" s="4"/>
      <c r="N917" s="4"/>
      <c r="O917" s="4"/>
      <c r="P917" s="4"/>
      <c r="Q917" s="4"/>
      <c r="R917" s="4"/>
      <c r="S917" s="4"/>
      <c r="T917" s="4"/>
      <c r="U917" s="32"/>
      <c r="V917" s="4"/>
      <c r="W917" s="4"/>
      <c r="X917" s="33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spans="1:41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32"/>
      <c r="L918" s="4"/>
      <c r="M918" s="4"/>
      <c r="N918" s="4"/>
      <c r="O918" s="4"/>
      <c r="P918" s="4"/>
      <c r="Q918" s="4"/>
      <c r="R918" s="4"/>
      <c r="S918" s="4"/>
      <c r="T918" s="4"/>
      <c r="U918" s="32"/>
      <c r="V918" s="4"/>
      <c r="W918" s="4"/>
      <c r="X918" s="33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spans="1:41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32"/>
      <c r="L919" s="4"/>
      <c r="M919" s="4"/>
      <c r="N919" s="4"/>
      <c r="O919" s="4"/>
      <c r="P919" s="4"/>
      <c r="Q919" s="4"/>
      <c r="R919" s="4"/>
      <c r="S919" s="4"/>
      <c r="T919" s="4"/>
      <c r="U919" s="32"/>
      <c r="V919" s="4"/>
      <c r="W919" s="4"/>
      <c r="X919" s="33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spans="1:41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32"/>
      <c r="L920" s="4"/>
      <c r="M920" s="4"/>
      <c r="N920" s="4"/>
      <c r="O920" s="4"/>
      <c r="P920" s="4"/>
      <c r="Q920" s="4"/>
      <c r="R920" s="4"/>
      <c r="S920" s="4"/>
      <c r="T920" s="4"/>
      <c r="U920" s="32"/>
      <c r="V920" s="4"/>
      <c r="W920" s="4"/>
      <c r="X920" s="33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spans="1:4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32"/>
      <c r="L921" s="4"/>
      <c r="M921" s="4"/>
      <c r="N921" s="4"/>
      <c r="O921" s="4"/>
      <c r="P921" s="4"/>
      <c r="Q921" s="4"/>
      <c r="R921" s="4"/>
      <c r="S921" s="4"/>
      <c r="T921" s="4"/>
      <c r="U921" s="32"/>
      <c r="V921" s="4"/>
      <c r="W921" s="4"/>
      <c r="X921" s="33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spans="1:41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32"/>
      <c r="L922" s="4"/>
      <c r="M922" s="4"/>
      <c r="N922" s="4"/>
      <c r="O922" s="4"/>
      <c r="P922" s="4"/>
      <c r="Q922" s="4"/>
      <c r="R922" s="4"/>
      <c r="S922" s="4"/>
      <c r="T922" s="4"/>
      <c r="U922" s="32"/>
      <c r="V922" s="4"/>
      <c r="W922" s="4"/>
      <c r="X922" s="33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spans="1:41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32"/>
      <c r="L923" s="4"/>
      <c r="M923" s="4"/>
      <c r="N923" s="4"/>
      <c r="O923" s="4"/>
      <c r="P923" s="4"/>
      <c r="Q923" s="4"/>
      <c r="R923" s="4"/>
      <c r="S923" s="4"/>
      <c r="T923" s="4"/>
      <c r="U923" s="32"/>
      <c r="V923" s="4"/>
      <c r="W923" s="4"/>
      <c r="X923" s="33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spans="1:41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32"/>
      <c r="L924" s="4"/>
      <c r="M924" s="4"/>
      <c r="N924" s="4"/>
      <c r="O924" s="4"/>
      <c r="P924" s="4"/>
      <c r="Q924" s="4"/>
      <c r="R924" s="4"/>
      <c r="S924" s="4"/>
      <c r="T924" s="4"/>
      <c r="U924" s="32"/>
      <c r="V924" s="4"/>
      <c r="W924" s="4"/>
      <c r="X924" s="33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spans="1:41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32"/>
      <c r="L925" s="4"/>
      <c r="M925" s="4"/>
      <c r="N925" s="4"/>
      <c r="O925" s="4"/>
      <c r="P925" s="4"/>
      <c r="Q925" s="4"/>
      <c r="R925" s="4"/>
      <c r="S925" s="4"/>
      <c r="T925" s="4"/>
      <c r="U925" s="32"/>
      <c r="V925" s="4"/>
      <c r="W925" s="4"/>
      <c r="X925" s="33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spans="1:41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32"/>
      <c r="L926" s="4"/>
      <c r="M926" s="4"/>
      <c r="N926" s="4"/>
      <c r="O926" s="4"/>
      <c r="P926" s="4"/>
      <c r="Q926" s="4"/>
      <c r="R926" s="4"/>
      <c r="S926" s="4"/>
      <c r="T926" s="4"/>
      <c r="U926" s="32"/>
      <c r="V926" s="4"/>
      <c r="W926" s="4"/>
      <c r="X926" s="33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spans="1:41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32"/>
      <c r="L927" s="4"/>
      <c r="M927" s="4"/>
      <c r="N927" s="4"/>
      <c r="O927" s="4"/>
      <c r="P927" s="4"/>
      <c r="Q927" s="4"/>
      <c r="R927" s="4"/>
      <c r="S927" s="4"/>
      <c r="T927" s="4"/>
      <c r="U927" s="32"/>
      <c r="V927" s="4"/>
      <c r="W927" s="4"/>
      <c r="X927" s="33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spans="1:41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32"/>
      <c r="L928" s="4"/>
      <c r="M928" s="4"/>
      <c r="N928" s="4"/>
      <c r="O928" s="4"/>
      <c r="P928" s="4"/>
      <c r="Q928" s="4"/>
      <c r="R928" s="4"/>
      <c r="S928" s="4"/>
      <c r="T928" s="4"/>
      <c r="U928" s="32"/>
      <c r="V928" s="4"/>
      <c r="W928" s="4"/>
      <c r="X928" s="33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spans="1:41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32"/>
      <c r="L929" s="4"/>
      <c r="M929" s="4"/>
      <c r="N929" s="4"/>
      <c r="O929" s="4"/>
      <c r="P929" s="4"/>
      <c r="Q929" s="4"/>
      <c r="R929" s="4"/>
      <c r="S929" s="4"/>
      <c r="T929" s="4"/>
      <c r="U929" s="32"/>
      <c r="V929" s="4"/>
      <c r="W929" s="4"/>
      <c r="X929" s="33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spans="1:41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32"/>
      <c r="L930" s="4"/>
      <c r="M930" s="4"/>
      <c r="N930" s="4"/>
      <c r="O930" s="4"/>
      <c r="P930" s="4"/>
      <c r="Q930" s="4"/>
      <c r="R930" s="4"/>
      <c r="S930" s="4"/>
      <c r="T930" s="4"/>
      <c r="U930" s="32"/>
      <c r="V930" s="4"/>
      <c r="W930" s="4"/>
      <c r="X930" s="33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spans="1:4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32"/>
      <c r="L931" s="4"/>
      <c r="M931" s="4"/>
      <c r="N931" s="4"/>
      <c r="O931" s="4"/>
      <c r="P931" s="4"/>
      <c r="Q931" s="4"/>
      <c r="R931" s="4"/>
      <c r="S931" s="4"/>
      <c r="T931" s="4"/>
      <c r="U931" s="32"/>
      <c r="V931" s="4"/>
      <c r="W931" s="4"/>
      <c r="X931" s="33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spans="1:41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32"/>
      <c r="L932" s="4"/>
      <c r="M932" s="4"/>
      <c r="N932" s="4"/>
      <c r="O932" s="4"/>
      <c r="P932" s="4"/>
      <c r="Q932" s="4"/>
      <c r="R932" s="4"/>
      <c r="S932" s="4"/>
      <c r="T932" s="4"/>
      <c r="U932" s="32"/>
      <c r="V932" s="4"/>
      <c r="W932" s="4"/>
      <c r="X932" s="33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spans="1:41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32"/>
      <c r="L933" s="4"/>
      <c r="M933" s="4"/>
      <c r="N933" s="4"/>
      <c r="O933" s="4"/>
      <c r="P933" s="4"/>
      <c r="Q933" s="4"/>
      <c r="R933" s="4"/>
      <c r="S933" s="4"/>
      <c r="T933" s="4"/>
      <c r="U933" s="32"/>
      <c r="V933" s="4"/>
      <c r="W933" s="4"/>
      <c r="X933" s="33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spans="1:41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32"/>
      <c r="L934" s="4"/>
      <c r="M934" s="4"/>
      <c r="N934" s="4"/>
      <c r="O934" s="4"/>
      <c r="P934" s="4"/>
      <c r="Q934" s="4"/>
      <c r="R934" s="4"/>
      <c r="S934" s="4"/>
      <c r="T934" s="4"/>
      <c r="U934" s="32"/>
      <c r="V934" s="4"/>
      <c r="W934" s="4"/>
      <c r="X934" s="33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spans="1:41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32"/>
      <c r="L935" s="4"/>
      <c r="M935" s="4"/>
      <c r="N935" s="4"/>
      <c r="O935" s="4"/>
      <c r="P935" s="4"/>
      <c r="Q935" s="4"/>
      <c r="R935" s="4"/>
      <c r="S935" s="4"/>
      <c r="T935" s="4"/>
      <c r="U935" s="32"/>
      <c r="V935" s="4"/>
      <c r="W935" s="4"/>
      <c r="X935" s="33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spans="1:41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32"/>
      <c r="L936" s="4"/>
      <c r="M936" s="4"/>
      <c r="N936" s="4"/>
      <c r="O936" s="4"/>
      <c r="P936" s="4"/>
      <c r="Q936" s="4"/>
      <c r="R936" s="4"/>
      <c r="S936" s="4"/>
      <c r="T936" s="4"/>
      <c r="U936" s="32"/>
      <c r="V936" s="4"/>
      <c r="W936" s="4"/>
      <c r="X936" s="33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spans="1:41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32"/>
      <c r="L937" s="4"/>
      <c r="M937" s="4"/>
      <c r="N937" s="4"/>
      <c r="O937" s="4"/>
      <c r="P937" s="4"/>
      <c r="Q937" s="4"/>
      <c r="R937" s="4"/>
      <c r="S937" s="4"/>
      <c r="T937" s="4"/>
      <c r="U937" s="32"/>
      <c r="V937" s="4"/>
      <c r="W937" s="4"/>
      <c r="X937" s="33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spans="1:41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32"/>
      <c r="L938" s="4"/>
      <c r="M938" s="4"/>
      <c r="N938" s="4"/>
      <c r="O938" s="4"/>
      <c r="P938" s="4"/>
      <c r="Q938" s="4"/>
      <c r="R938" s="4"/>
      <c r="S938" s="4"/>
      <c r="T938" s="4"/>
      <c r="U938" s="32"/>
      <c r="V938" s="4"/>
      <c r="W938" s="4"/>
      <c r="X938" s="33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spans="1:41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32"/>
      <c r="L939" s="4"/>
      <c r="M939" s="4"/>
      <c r="N939" s="4"/>
      <c r="O939" s="4"/>
      <c r="P939" s="4"/>
      <c r="Q939" s="4"/>
      <c r="R939" s="4"/>
      <c r="S939" s="4"/>
      <c r="T939" s="4"/>
      <c r="U939" s="32"/>
      <c r="V939" s="4"/>
      <c r="W939" s="4"/>
      <c r="X939" s="33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spans="1:41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32"/>
      <c r="L940" s="4"/>
      <c r="M940" s="4"/>
      <c r="N940" s="4"/>
      <c r="O940" s="4"/>
      <c r="P940" s="4"/>
      <c r="Q940" s="4"/>
      <c r="R940" s="4"/>
      <c r="S940" s="4"/>
      <c r="T940" s="4"/>
      <c r="U940" s="32"/>
      <c r="V940" s="4"/>
      <c r="W940" s="4"/>
      <c r="X940" s="33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spans="1: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32"/>
      <c r="L941" s="4"/>
      <c r="M941" s="4"/>
      <c r="N941" s="4"/>
      <c r="O941" s="4"/>
      <c r="P941" s="4"/>
      <c r="Q941" s="4"/>
      <c r="R941" s="4"/>
      <c r="S941" s="4"/>
      <c r="T941" s="4"/>
      <c r="U941" s="32"/>
      <c r="V941" s="4"/>
      <c r="W941" s="4"/>
      <c r="X941" s="33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spans="1:41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32"/>
      <c r="L942" s="4"/>
      <c r="M942" s="4"/>
      <c r="N942" s="4"/>
      <c r="O942" s="4"/>
      <c r="P942" s="4"/>
      <c r="Q942" s="4"/>
      <c r="R942" s="4"/>
      <c r="S942" s="4"/>
      <c r="T942" s="4"/>
      <c r="U942" s="32"/>
      <c r="V942" s="4"/>
      <c r="W942" s="4"/>
      <c r="X942" s="33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spans="1:41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32"/>
      <c r="L943" s="4"/>
      <c r="M943" s="4"/>
      <c r="N943" s="4"/>
      <c r="O943" s="4"/>
      <c r="P943" s="4"/>
      <c r="Q943" s="4"/>
      <c r="R943" s="4"/>
      <c r="S943" s="4"/>
      <c r="T943" s="4"/>
      <c r="U943" s="32"/>
      <c r="V943" s="4"/>
      <c r="W943" s="4"/>
      <c r="X943" s="33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spans="1:41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32"/>
      <c r="L944" s="4"/>
      <c r="M944" s="4"/>
      <c r="N944" s="4"/>
      <c r="O944" s="4"/>
      <c r="P944" s="4"/>
      <c r="Q944" s="4"/>
      <c r="R944" s="4"/>
      <c r="S944" s="4"/>
      <c r="T944" s="4"/>
      <c r="U944" s="32"/>
      <c r="V944" s="4"/>
      <c r="W944" s="4"/>
      <c r="X944" s="33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spans="1:41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32"/>
      <c r="L945" s="4"/>
      <c r="M945" s="4"/>
      <c r="N945" s="4"/>
      <c r="O945" s="4"/>
      <c r="P945" s="4"/>
      <c r="Q945" s="4"/>
      <c r="R945" s="4"/>
      <c r="S945" s="4"/>
      <c r="T945" s="4"/>
      <c r="U945" s="32"/>
      <c r="V945" s="4"/>
      <c r="W945" s="4"/>
      <c r="X945" s="33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spans="1:41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32"/>
      <c r="L946" s="4"/>
      <c r="M946" s="4"/>
      <c r="N946" s="4"/>
      <c r="O946" s="4"/>
      <c r="P946" s="4"/>
      <c r="Q946" s="4"/>
      <c r="R946" s="4"/>
      <c r="S946" s="4"/>
      <c r="T946" s="4"/>
      <c r="U946" s="32"/>
      <c r="V946" s="4"/>
      <c r="W946" s="4"/>
      <c r="X946" s="33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spans="1:41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32"/>
      <c r="L947" s="4"/>
      <c r="M947" s="4"/>
      <c r="N947" s="4"/>
      <c r="O947" s="4"/>
      <c r="P947" s="4"/>
      <c r="Q947" s="4"/>
      <c r="R947" s="4"/>
      <c r="S947" s="4"/>
      <c r="T947" s="4"/>
      <c r="U947" s="32"/>
      <c r="V947" s="4"/>
      <c r="W947" s="4"/>
      <c r="X947" s="33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spans="1:41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32"/>
      <c r="L948" s="4"/>
      <c r="M948" s="4"/>
      <c r="N948" s="4"/>
      <c r="O948" s="4"/>
      <c r="P948" s="4"/>
      <c r="Q948" s="4"/>
      <c r="R948" s="4"/>
      <c r="S948" s="4"/>
      <c r="T948" s="4"/>
      <c r="U948" s="32"/>
      <c r="V948" s="4"/>
      <c r="W948" s="4"/>
      <c r="X948" s="33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spans="1:41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32"/>
      <c r="L949" s="4"/>
      <c r="M949" s="4"/>
      <c r="N949" s="4"/>
      <c r="O949" s="4"/>
      <c r="P949" s="4"/>
      <c r="Q949" s="4"/>
      <c r="R949" s="4"/>
      <c r="S949" s="4"/>
      <c r="T949" s="4"/>
      <c r="U949" s="32"/>
      <c r="V949" s="4"/>
      <c r="W949" s="4"/>
      <c r="X949" s="33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spans="1:41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32"/>
      <c r="L950" s="4"/>
      <c r="M950" s="4"/>
      <c r="N950" s="4"/>
      <c r="O950" s="4"/>
      <c r="P950" s="4"/>
      <c r="Q950" s="4"/>
      <c r="R950" s="4"/>
      <c r="S950" s="4"/>
      <c r="T950" s="4"/>
      <c r="U950" s="32"/>
      <c r="V950" s="4"/>
      <c r="W950" s="4"/>
      <c r="X950" s="33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spans="1:4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32"/>
      <c r="L951" s="4"/>
      <c r="M951" s="4"/>
      <c r="N951" s="4"/>
      <c r="O951" s="4"/>
      <c r="P951" s="4"/>
      <c r="Q951" s="4"/>
      <c r="R951" s="4"/>
      <c r="S951" s="4"/>
      <c r="T951" s="4"/>
      <c r="U951" s="32"/>
      <c r="V951" s="4"/>
      <c r="W951" s="4"/>
      <c r="X951" s="33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spans="1:41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32"/>
      <c r="L952" s="4"/>
      <c r="M952" s="4"/>
      <c r="N952" s="4"/>
      <c r="O952" s="4"/>
      <c r="P952" s="4"/>
      <c r="Q952" s="4"/>
      <c r="R952" s="4"/>
      <c r="S952" s="4"/>
      <c r="T952" s="4"/>
      <c r="U952" s="32"/>
      <c r="V952" s="4"/>
      <c r="W952" s="4"/>
      <c r="X952" s="33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spans="1:41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32"/>
      <c r="L953" s="4"/>
      <c r="M953" s="4"/>
      <c r="N953" s="4"/>
      <c r="O953" s="4"/>
      <c r="P953" s="4"/>
      <c r="Q953" s="4"/>
      <c r="R953" s="4"/>
      <c r="S953" s="4"/>
      <c r="T953" s="4"/>
      <c r="U953" s="32"/>
      <c r="V953" s="4"/>
      <c r="W953" s="4"/>
      <c r="X953" s="33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spans="1:41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32"/>
      <c r="L954" s="4"/>
      <c r="M954" s="4"/>
      <c r="N954" s="4"/>
      <c r="O954" s="4"/>
      <c r="P954" s="4"/>
      <c r="Q954" s="4"/>
      <c r="R954" s="4"/>
      <c r="S954" s="4"/>
      <c r="T954" s="4"/>
      <c r="U954" s="32"/>
      <c r="V954" s="4"/>
      <c r="W954" s="4"/>
      <c r="X954" s="33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spans="1:41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32"/>
      <c r="L955" s="4"/>
      <c r="M955" s="4"/>
      <c r="N955" s="4"/>
      <c r="O955" s="4"/>
      <c r="P955" s="4"/>
      <c r="Q955" s="4"/>
      <c r="R955" s="4"/>
      <c r="S955" s="4"/>
      <c r="T955" s="4"/>
      <c r="U955" s="32"/>
      <c r="V955" s="4"/>
      <c r="W955" s="4"/>
      <c r="X955" s="33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spans="1:41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32"/>
      <c r="L956" s="4"/>
      <c r="M956" s="4"/>
      <c r="N956" s="4"/>
      <c r="O956" s="4"/>
      <c r="P956" s="4"/>
      <c r="Q956" s="4"/>
      <c r="R956" s="4"/>
      <c r="S956" s="4"/>
      <c r="T956" s="4"/>
      <c r="U956" s="32"/>
      <c r="V956" s="4"/>
      <c r="W956" s="4"/>
      <c r="X956" s="33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spans="1:41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32"/>
      <c r="L957" s="4"/>
      <c r="M957" s="4"/>
      <c r="N957" s="4"/>
      <c r="O957" s="4"/>
      <c r="P957" s="4"/>
      <c r="Q957" s="4"/>
      <c r="R957" s="4"/>
      <c r="S957" s="4"/>
      <c r="T957" s="4"/>
      <c r="U957" s="32"/>
      <c r="V957" s="4"/>
      <c r="W957" s="4"/>
      <c r="X957" s="33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spans="1:41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32"/>
      <c r="L958" s="4"/>
      <c r="M958" s="4"/>
      <c r="N958" s="4"/>
      <c r="O958" s="4"/>
      <c r="P958" s="4"/>
      <c r="Q958" s="4"/>
      <c r="R958" s="4"/>
      <c r="S958" s="4"/>
      <c r="T958" s="4"/>
      <c r="U958" s="32"/>
      <c r="V958" s="4"/>
      <c r="W958" s="4"/>
      <c r="X958" s="33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spans="1:41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32"/>
      <c r="L959" s="4"/>
      <c r="M959" s="4"/>
      <c r="N959" s="4"/>
      <c r="O959" s="4"/>
      <c r="P959" s="4"/>
      <c r="Q959" s="4"/>
      <c r="R959" s="4"/>
      <c r="S959" s="4"/>
      <c r="T959" s="4"/>
      <c r="U959" s="32"/>
      <c r="V959" s="4"/>
      <c r="W959" s="4"/>
      <c r="X959" s="33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spans="1:41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32"/>
      <c r="L960" s="4"/>
      <c r="M960" s="4"/>
      <c r="N960" s="4"/>
      <c r="O960" s="4"/>
      <c r="P960" s="4"/>
      <c r="Q960" s="4"/>
      <c r="R960" s="4"/>
      <c r="S960" s="4"/>
      <c r="T960" s="4"/>
      <c r="U960" s="32"/>
      <c r="V960" s="4"/>
      <c r="W960" s="4"/>
      <c r="X960" s="33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spans="1:4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32"/>
      <c r="L961" s="4"/>
      <c r="M961" s="4"/>
      <c r="N961" s="4"/>
      <c r="O961" s="4"/>
      <c r="P961" s="4"/>
      <c r="Q961" s="4"/>
      <c r="R961" s="4"/>
      <c r="S961" s="4"/>
      <c r="T961" s="4"/>
      <c r="U961" s="32"/>
      <c r="V961" s="4"/>
      <c r="W961" s="4"/>
      <c r="X961" s="33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spans="1:41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32"/>
      <c r="L962" s="4"/>
      <c r="M962" s="4"/>
      <c r="N962" s="4"/>
      <c r="O962" s="4"/>
      <c r="P962" s="4"/>
      <c r="Q962" s="4"/>
      <c r="R962" s="4"/>
      <c r="S962" s="4"/>
      <c r="T962" s="4"/>
      <c r="U962" s="32"/>
      <c r="V962" s="4"/>
      <c r="W962" s="4"/>
      <c r="X962" s="33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spans="1:41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32"/>
      <c r="L963" s="4"/>
      <c r="M963" s="4"/>
      <c r="N963" s="4"/>
      <c r="O963" s="4"/>
      <c r="P963" s="4"/>
      <c r="Q963" s="4"/>
      <c r="R963" s="4"/>
      <c r="S963" s="4"/>
      <c r="T963" s="4"/>
      <c r="U963" s="32"/>
      <c r="V963" s="4"/>
      <c r="W963" s="4"/>
      <c r="X963" s="33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spans="1:41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32"/>
      <c r="L964" s="4"/>
      <c r="M964" s="4"/>
      <c r="N964" s="4"/>
      <c r="O964" s="4"/>
      <c r="P964" s="4"/>
      <c r="Q964" s="4"/>
      <c r="R964" s="4"/>
      <c r="S964" s="4"/>
      <c r="T964" s="4"/>
      <c r="U964" s="32"/>
      <c r="V964" s="4"/>
      <c r="W964" s="4"/>
      <c r="X964" s="33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spans="1:41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32"/>
      <c r="L965" s="4"/>
      <c r="M965" s="4"/>
      <c r="N965" s="4"/>
      <c r="O965" s="4"/>
      <c r="P965" s="4"/>
      <c r="Q965" s="4"/>
      <c r="R965" s="4"/>
      <c r="S965" s="4"/>
      <c r="T965" s="4"/>
      <c r="U965" s="32"/>
      <c r="V965" s="4"/>
      <c r="W965" s="4"/>
      <c r="X965" s="33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spans="1:41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32"/>
      <c r="L966" s="4"/>
      <c r="M966" s="4"/>
      <c r="N966" s="4"/>
      <c r="O966" s="4"/>
      <c r="P966" s="4"/>
      <c r="Q966" s="4"/>
      <c r="R966" s="4"/>
      <c r="S966" s="4"/>
      <c r="T966" s="4"/>
      <c r="U966" s="32"/>
      <c r="V966" s="4"/>
      <c r="W966" s="4"/>
      <c r="X966" s="33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spans="1:41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32"/>
      <c r="L967" s="4"/>
      <c r="M967" s="4"/>
      <c r="N967" s="4"/>
      <c r="O967" s="4"/>
      <c r="P967" s="4"/>
      <c r="Q967" s="4"/>
      <c r="R967" s="4"/>
      <c r="S967" s="4"/>
      <c r="T967" s="4"/>
      <c r="U967" s="32"/>
      <c r="V967" s="4"/>
      <c r="W967" s="4"/>
      <c r="X967" s="33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spans="1:41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32"/>
      <c r="L968" s="4"/>
      <c r="M968" s="4"/>
      <c r="N968" s="4"/>
      <c r="O968" s="4"/>
      <c r="P968" s="4"/>
      <c r="Q968" s="4"/>
      <c r="R968" s="4"/>
      <c r="S968" s="4"/>
      <c r="T968" s="4"/>
      <c r="U968" s="32"/>
      <c r="V968" s="4"/>
      <c r="W968" s="4"/>
      <c r="X968" s="33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spans="1:41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32"/>
      <c r="L969" s="4"/>
      <c r="M969" s="4"/>
      <c r="N969" s="4"/>
      <c r="O969" s="4"/>
      <c r="P969" s="4"/>
      <c r="Q969" s="4"/>
      <c r="R969" s="4"/>
      <c r="S969" s="4"/>
      <c r="T969" s="4"/>
      <c r="U969" s="32"/>
      <c r="V969" s="4"/>
      <c r="W969" s="4"/>
      <c r="X969" s="33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spans="1:41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32"/>
      <c r="L970" s="4"/>
      <c r="M970" s="4"/>
      <c r="N970" s="4"/>
      <c r="O970" s="4"/>
      <c r="P970" s="4"/>
      <c r="Q970" s="4"/>
      <c r="R970" s="4"/>
      <c r="S970" s="4"/>
      <c r="T970" s="4"/>
      <c r="U970" s="32"/>
      <c r="V970" s="4"/>
      <c r="W970" s="4"/>
      <c r="X970" s="33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spans="1:4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32"/>
      <c r="L971" s="4"/>
      <c r="M971" s="4"/>
      <c r="N971" s="4"/>
      <c r="O971" s="4"/>
      <c r="P971" s="4"/>
      <c r="Q971" s="4"/>
      <c r="R971" s="4"/>
      <c r="S971" s="4"/>
      <c r="T971" s="4"/>
      <c r="U971" s="32"/>
      <c r="V971" s="4"/>
      <c r="W971" s="4"/>
      <c r="X971" s="33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spans="1:41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32"/>
      <c r="L972" s="4"/>
      <c r="M972" s="4"/>
      <c r="N972" s="4"/>
      <c r="O972" s="4"/>
      <c r="P972" s="4"/>
      <c r="Q972" s="4"/>
      <c r="R972" s="4"/>
      <c r="S972" s="4"/>
      <c r="T972" s="4"/>
      <c r="U972" s="32"/>
      <c r="V972" s="4"/>
      <c r="W972" s="4"/>
      <c r="X972" s="33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spans="1:41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32"/>
      <c r="L973" s="4"/>
      <c r="M973" s="4"/>
      <c r="N973" s="4"/>
      <c r="O973" s="4"/>
      <c r="P973" s="4"/>
      <c r="Q973" s="4"/>
      <c r="R973" s="4"/>
      <c r="S973" s="4"/>
      <c r="T973" s="4"/>
      <c r="U973" s="32"/>
      <c r="V973" s="4"/>
      <c r="W973" s="4"/>
      <c r="X973" s="33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spans="1:41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32"/>
      <c r="L974" s="4"/>
      <c r="M974" s="4"/>
      <c r="N974" s="4"/>
      <c r="O974" s="4"/>
      <c r="P974" s="4"/>
      <c r="Q974" s="4"/>
      <c r="R974" s="4"/>
      <c r="S974" s="4"/>
      <c r="T974" s="4"/>
      <c r="U974" s="32"/>
      <c r="V974" s="4"/>
      <c r="W974" s="4"/>
      <c r="X974" s="33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spans="1:41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32"/>
      <c r="L975" s="4"/>
      <c r="M975" s="4"/>
      <c r="N975" s="4"/>
      <c r="O975" s="4"/>
      <c r="P975" s="4"/>
      <c r="Q975" s="4"/>
      <c r="R975" s="4"/>
      <c r="S975" s="4"/>
      <c r="T975" s="4"/>
      <c r="U975" s="32"/>
      <c r="V975" s="4"/>
      <c r="W975" s="4"/>
      <c r="X975" s="33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spans="1:41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32"/>
      <c r="L976" s="4"/>
      <c r="M976" s="4"/>
      <c r="N976" s="4"/>
      <c r="O976" s="4"/>
      <c r="P976" s="4"/>
      <c r="Q976" s="4"/>
      <c r="R976" s="4"/>
      <c r="S976" s="4"/>
      <c r="T976" s="4"/>
      <c r="U976" s="32"/>
      <c r="V976" s="4"/>
      <c r="W976" s="4"/>
      <c r="X976" s="33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spans="1:41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32"/>
      <c r="L977" s="4"/>
      <c r="M977" s="4"/>
      <c r="N977" s="4"/>
      <c r="O977" s="4"/>
      <c r="P977" s="4"/>
      <c r="Q977" s="4"/>
      <c r="R977" s="4"/>
      <c r="S977" s="4"/>
      <c r="T977" s="4"/>
      <c r="U977" s="32"/>
      <c r="V977" s="4"/>
      <c r="W977" s="4"/>
      <c r="X977" s="33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spans="1:41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32"/>
      <c r="L978" s="4"/>
      <c r="M978" s="4"/>
      <c r="N978" s="4"/>
      <c r="O978" s="4"/>
      <c r="P978" s="4"/>
      <c r="Q978" s="4"/>
      <c r="R978" s="4"/>
      <c r="S978" s="4"/>
      <c r="T978" s="4"/>
      <c r="U978" s="32"/>
      <c r="V978" s="4"/>
      <c r="W978" s="4"/>
      <c r="X978" s="33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spans="1:41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32"/>
      <c r="L979" s="4"/>
      <c r="M979" s="4"/>
      <c r="N979" s="4"/>
      <c r="O979" s="4"/>
      <c r="P979" s="4"/>
      <c r="Q979" s="4"/>
      <c r="R979" s="4"/>
      <c r="S979" s="4"/>
      <c r="T979" s="4"/>
      <c r="U979" s="32"/>
      <c r="V979" s="4"/>
      <c r="W979" s="4"/>
      <c r="X979" s="33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spans="1:41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32"/>
      <c r="L980" s="4"/>
      <c r="M980" s="4"/>
      <c r="N980" s="4"/>
      <c r="O980" s="4"/>
      <c r="P980" s="4"/>
      <c r="Q980" s="4"/>
      <c r="R980" s="4"/>
      <c r="S980" s="4"/>
      <c r="T980" s="4"/>
      <c r="U980" s="32"/>
      <c r="V980" s="4"/>
      <c r="W980" s="4"/>
      <c r="X980" s="33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spans="1:4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32"/>
      <c r="L981" s="4"/>
      <c r="M981" s="4"/>
      <c r="N981" s="4"/>
      <c r="O981" s="4"/>
      <c r="P981" s="4"/>
      <c r="Q981" s="4"/>
      <c r="R981" s="4"/>
      <c r="S981" s="4"/>
      <c r="T981" s="4"/>
      <c r="U981" s="32"/>
      <c r="V981" s="4"/>
      <c r="W981" s="4"/>
      <c r="X981" s="33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spans="1:41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32"/>
      <c r="L982" s="4"/>
      <c r="M982" s="4"/>
      <c r="N982" s="4"/>
      <c r="O982" s="4"/>
      <c r="P982" s="4"/>
      <c r="Q982" s="4"/>
      <c r="R982" s="4"/>
      <c r="S982" s="4"/>
      <c r="T982" s="4"/>
      <c r="U982" s="32"/>
      <c r="V982" s="4"/>
      <c r="W982" s="4"/>
      <c r="X982" s="33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spans="1:41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32"/>
      <c r="L983" s="4"/>
      <c r="M983" s="4"/>
      <c r="N983" s="4"/>
      <c r="O983" s="4"/>
      <c r="P983" s="4"/>
      <c r="Q983" s="4"/>
      <c r="R983" s="4"/>
      <c r="S983" s="4"/>
      <c r="T983" s="4"/>
      <c r="U983" s="32"/>
      <c r="V983" s="4"/>
      <c r="W983" s="4"/>
      <c r="X983" s="33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spans="1:41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32"/>
      <c r="L984" s="4"/>
      <c r="M984" s="4"/>
      <c r="N984" s="4"/>
      <c r="O984" s="4"/>
      <c r="P984" s="4"/>
      <c r="Q984" s="4"/>
      <c r="R984" s="4"/>
      <c r="S984" s="4"/>
      <c r="T984" s="4"/>
      <c r="U984" s="32"/>
      <c r="V984" s="4"/>
      <c r="W984" s="4"/>
      <c r="X984" s="33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spans="1:41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32"/>
      <c r="L985" s="4"/>
      <c r="M985" s="4"/>
      <c r="N985" s="4"/>
      <c r="O985" s="4"/>
      <c r="P985" s="4"/>
      <c r="Q985" s="4"/>
      <c r="R985" s="4"/>
      <c r="S985" s="4"/>
      <c r="T985" s="4"/>
      <c r="U985" s="32"/>
      <c r="V985" s="4"/>
      <c r="W985" s="4"/>
      <c r="X985" s="33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spans="1:41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32"/>
      <c r="L986" s="4"/>
      <c r="M986" s="4"/>
      <c r="N986" s="4"/>
      <c r="O986" s="4"/>
      <c r="P986" s="4"/>
      <c r="Q986" s="4"/>
      <c r="R986" s="4"/>
      <c r="S986" s="4"/>
      <c r="T986" s="4"/>
      <c r="U986" s="32"/>
      <c r="V986" s="4"/>
      <c r="W986" s="4"/>
      <c r="X986" s="33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spans="1:41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32"/>
      <c r="L987" s="4"/>
      <c r="M987" s="4"/>
      <c r="N987" s="4"/>
      <c r="O987" s="4"/>
      <c r="P987" s="4"/>
      <c r="Q987" s="4"/>
      <c r="R987" s="4"/>
      <c r="S987" s="4"/>
      <c r="T987" s="4"/>
      <c r="U987" s="32"/>
      <c r="V987" s="4"/>
      <c r="W987" s="4"/>
      <c r="X987" s="33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spans="1:41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32"/>
      <c r="L988" s="4"/>
      <c r="M988" s="4"/>
      <c r="N988" s="4"/>
      <c r="O988" s="4"/>
      <c r="P988" s="4"/>
      <c r="Q988" s="4"/>
      <c r="R988" s="4"/>
      <c r="S988" s="4"/>
      <c r="T988" s="4"/>
      <c r="U988" s="32"/>
      <c r="V988" s="4"/>
      <c r="W988" s="4"/>
      <c r="X988" s="33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spans="1:41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32"/>
      <c r="L989" s="4"/>
      <c r="M989" s="4"/>
      <c r="N989" s="4"/>
      <c r="O989" s="4"/>
      <c r="P989" s="4"/>
      <c r="Q989" s="4"/>
      <c r="R989" s="4"/>
      <c r="S989" s="4"/>
      <c r="T989" s="4"/>
      <c r="U989" s="32"/>
      <c r="V989" s="4"/>
      <c r="W989" s="4"/>
      <c r="X989" s="33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spans="1:41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32"/>
      <c r="L990" s="4"/>
      <c r="M990" s="4"/>
      <c r="N990" s="4"/>
      <c r="O990" s="4"/>
      <c r="P990" s="4"/>
      <c r="Q990" s="4"/>
      <c r="R990" s="4"/>
      <c r="S990" s="4"/>
      <c r="T990" s="4"/>
      <c r="U990" s="32"/>
      <c r="V990" s="4"/>
      <c r="W990" s="4"/>
      <c r="X990" s="33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spans="1:4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32"/>
      <c r="L991" s="4"/>
      <c r="M991" s="4"/>
      <c r="N991" s="4"/>
      <c r="O991" s="4"/>
      <c r="P991" s="4"/>
      <c r="Q991" s="4"/>
      <c r="R991" s="4"/>
      <c r="S991" s="4"/>
      <c r="T991" s="4"/>
      <c r="U991" s="32"/>
      <c r="V991" s="4"/>
      <c r="W991" s="4"/>
      <c r="X991" s="33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spans="1:41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32"/>
      <c r="L992" s="4"/>
      <c r="M992" s="4"/>
      <c r="N992" s="4"/>
      <c r="O992" s="4"/>
      <c r="P992" s="4"/>
      <c r="Q992" s="4"/>
      <c r="R992" s="4"/>
      <c r="S992" s="4"/>
      <c r="T992" s="4"/>
      <c r="U992" s="32"/>
      <c r="V992" s="4"/>
      <c r="W992" s="4"/>
      <c r="X992" s="33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spans="1:41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32"/>
      <c r="L993" s="4"/>
      <c r="M993" s="4"/>
      <c r="N993" s="4"/>
      <c r="O993" s="4"/>
      <c r="P993" s="4"/>
      <c r="Q993" s="4"/>
      <c r="R993" s="4"/>
      <c r="S993" s="4"/>
      <c r="T993" s="4"/>
      <c r="U993" s="32"/>
      <c r="V993" s="4"/>
      <c r="W993" s="4"/>
      <c r="X993" s="33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spans="1:41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32"/>
      <c r="L994" s="4"/>
      <c r="M994" s="4"/>
      <c r="N994" s="4"/>
      <c r="O994" s="4"/>
      <c r="P994" s="4"/>
      <c r="Q994" s="4"/>
      <c r="R994" s="4"/>
      <c r="S994" s="4"/>
      <c r="T994" s="4"/>
      <c r="U994" s="32"/>
      <c r="V994" s="4"/>
      <c r="W994" s="4"/>
      <c r="X994" s="33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spans="1:41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32"/>
      <c r="L995" s="4"/>
      <c r="M995" s="4"/>
      <c r="N995" s="4"/>
      <c r="O995" s="4"/>
      <c r="P995" s="4"/>
      <c r="Q995" s="4"/>
      <c r="R995" s="4"/>
      <c r="S995" s="4"/>
      <c r="T995" s="4"/>
      <c r="U995" s="32"/>
      <c r="V995" s="4"/>
      <c r="W995" s="4"/>
      <c r="X995" s="33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spans="1:41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32"/>
      <c r="L996" s="4"/>
      <c r="M996" s="4"/>
      <c r="N996" s="4"/>
      <c r="O996" s="4"/>
      <c r="P996" s="4"/>
      <c r="Q996" s="4"/>
      <c r="R996" s="4"/>
      <c r="S996" s="4"/>
      <c r="T996" s="4"/>
      <c r="U996" s="32"/>
      <c r="V996" s="4"/>
      <c r="W996" s="4"/>
      <c r="X996" s="33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spans="1:41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32"/>
      <c r="L997" s="4"/>
      <c r="M997" s="4"/>
      <c r="N997" s="4"/>
      <c r="O997" s="4"/>
      <c r="P997" s="4"/>
      <c r="Q997" s="4"/>
      <c r="R997" s="4"/>
      <c r="S997" s="4"/>
      <c r="T997" s="4"/>
      <c r="U997" s="32"/>
      <c r="V997" s="4"/>
      <c r="W997" s="4"/>
      <c r="X997" s="33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spans="1:41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32"/>
      <c r="L998" s="4"/>
      <c r="M998" s="4"/>
      <c r="N998" s="4"/>
      <c r="O998" s="4"/>
      <c r="P998" s="4"/>
      <c r="Q998" s="4"/>
      <c r="R998" s="4"/>
      <c r="S998" s="4"/>
      <c r="T998" s="4"/>
      <c r="U998" s="32"/>
      <c r="V998" s="4"/>
      <c r="W998" s="4"/>
      <c r="X998" s="33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spans="1:41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32"/>
      <c r="L999" s="4"/>
      <c r="M999" s="4"/>
      <c r="N999" s="4"/>
      <c r="O999" s="4"/>
      <c r="P999" s="4"/>
      <c r="Q999" s="4"/>
      <c r="R999" s="4"/>
      <c r="S999" s="4"/>
      <c r="T999" s="4"/>
      <c r="U999" s="32"/>
      <c r="V999" s="4"/>
      <c r="W999" s="4"/>
      <c r="X999" s="33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  <row r="1000" spans="1:41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32"/>
      <c r="L1000" s="4"/>
      <c r="M1000" s="4"/>
      <c r="N1000" s="4"/>
      <c r="O1000" s="4"/>
      <c r="P1000" s="4"/>
      <c r="Q1000" s="4"/>
      <c r="R1000" s="4"/>
      <c r="S1000" s="4"/>
      <c r="T1000" s="4"/>
      <c r="U1000" s="32"/>
      <c r="V1000" s="4"/>
      <c r="W1000" s="4"/>
      <c r="X1000" s="33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</row>
    <row r="1001" spans="1:4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32"/>
      <c r="L1001" s="4"/>
      <c r="M1001" s="4"/>
      <c r="N1001" s="4"/>
      <c r="O1001" s="4"/>
      <c r="P1001" s="4"/>
      <c r="Q1001" s="4"/>
      <c r="R1001" s="4"/>
      <c r="S1001" s="4"/>
      <c r="T1001" s="4"/>
      <c r="U1001" s="32"/>
      <c r="V1001" s="4"/>
      <c r="W1001" s="4"/>
      <c r="X1001" s="33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</row>
    <row r="1002" spans="1:41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32"/>
      <c r="L1002" s="4"/>
      <c r="M1002" s="4"/>
      <c r="N1002" s="4"/>
      <c r="O1002" s="4"/>
      <c r="P1002" s="4"/>
      <c r="Q1002" s="4"/>
      <c r="R1002" s="4"/>
      <c r="S1002" s="4"/>
      <c r="T1002" s="4"/>
      <c r="U1002" s="32"/>
      <c r="V1002" s="4"/>
      <c r="W1002" s="4"/>
      <c r="X1002" s="33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</row>
    <row r="1003" spans="1:41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32"/>
      <c r="L1003" s="4"/>
      <c r="M1003" s="4"/>
      <c r="N1003" s="4"/>
      <c r="O1003" s="4"/>
      <c r="P1003" s="4"/>
      <c r="Q1003" s="4"/>
      <c r="R1003" s="4"/>
      <c r="S1003" s="4"/>
      <c r="T1003" s="4"/>
      <c r="U1003" s="32"/>
      <c r="V1003" s="4"/>
      <c r="W1003" s="4"/>
      <c r="X1003" s="33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</row>
    <row r="1004" spans="1:41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32"/>
      <c r="L1004" s="4"/>
      <c r="M1004" s="4"/>
      <c r="N1004" s="4"/>
      <c r="O1004" s="4"/>
      <c r="P1004" s="4"/>
      <c r="Q1004" s="4"/>
      <c r="R1004" s="4"/>
      <c r="S1004" s="4"/>
      <c r="T1004" s="4"/>
      <c r="U1004" s="32"/>
      <c r="V1004" s="4"/>
      <c r="W1004" s="4"/>
      <c r="X1004" s="33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</row>
    <row r="1005" spans="1:41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32"/>
      <c r="L1005" s="4"/>
      <c r="M1005" s="4"/>
      <c r="N1005" s="4"/>
      <c r="O1005" s="4"/>
      <c r="P1005" s="4"/>
      <c r="Q1005" s="4"/>
      <c r="R1005" s="4"/>
      <c r="S1005" s="4"/>
      <c r="T1005" s="4"/>
      <c r="U1005" s="32"/>
      <c r="V1005" s="4"/>
      <c r="W1005" s="4"/>
      <c r="X1005" s="33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</row>
    <row r="1006" spans="1:41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32"/>
      <c r="L1006" s="4"/>
      <c r="M1006" s="4"/>
      <c r="N1006" s="4"/>
      <c r="O1006" s="4"/>
      <c r="P1006" s="4"/>
      <c r="Q1006" s="4"/>
      <c r="R1006" s="4"/>
      <c r="S1006" s="4"/>
      <c r="T1006" s="4"/>
      <c r="U1006" s="32"/>
      <c r="V1006" s="4"/>
      <c r="W1006" s="4"/>
      <c r="X1006" s="33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</row>
    <row r="1007" spans="1:41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32"/>
      <c r="L1007" s="4"/>
      <c r="M1007" s="4"/>
      <c r="N1007" s="4"/>
      <c r="O1007" s="4"/>
      <c r="P1007" s="4"/>
      <c r="Q1007" s="4"/>
      <c r="R1007" s="4"/>
      <c r="S1007" s="4"/>
      <c r="T1007" s="4"/>
      <c r="U1007" s="32"/>
      <c r="V1007" s="4"/>
      <c r="W1007" s="4"/>
      <c r="X1007" s="33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</row>
    <row r="1008" spans="1:41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32"/>
      <c r="L1008" s="4"/>
      <c r="M1008" s="4"/>
      <c r="N1008" s="4"/>
      <c r="O1008" s="4"/>
      <c r="P1008" s="4"/>
      <c r="Q1008" s="4"/>
      <c r="R1008" s="4"/>
      <c r="S1008" s="4"/>
      <c r="T1008" s="4"/>
      <c r="U1008" s="32"/>
      <c r="V1008" s="4"/>
      <c r="W1008" s="4"/>
      <c r="X1008" s="33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</row>
    <row r="1009" spans="1:41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32"/>
      <c r="L1009" s="4"/>
      <c r="M1009" s="4"/>
      <c r="N1009" s="4"/>
      <c r="O1009" s="4"/>
      <c r="P1009" s="4"/>
      <c r="Q1009" s="4"/>
      <c r="R1009" s="4"/>
      <c r="S1009" s="4"/>
      <c r="T1009" s="4"/>
      <c r="U1009" s="32"/>
      <c r="V1009" s="4"/>
      <c r="W1009" s="4"/>
      <c r="X1009" s="33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</row>
    <row r="1010" spans="1:41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32"/>
      <c r="L1010" s="4"/>
      <c r="M1010" s="4"/>
      <c r="N1010" s="4"/>
      <c r="O1010" s="4"/>
      <c r="P1010" s="4"/>
      <c r="Q1010" s="4"/>
      <c r="R1010" s="4"/>
      <c r="S1010" s="4"/>
      <c r="T1010" s="4"/>
      <c r="U1010" s="32"/>
      <c r="V1010" s="4"/>
      <c r="W1010" s="4"/>
      <c r="X1010" s="33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</row>
    <row r="1011" spans="1:4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32"/>
      <c r="L1011" s="4"/>
      <c r="M1011" s="4"/>
      <c r="N1011" s="4"/>
      <c r="O1011" s="4"/>
      <c r="P1011" s="4"/>
      <c r="Q1011" s="4"/>
      <c r="R1011" s="4"/>
      <c r="S1011" s="4"/>
      <c r="T1011" s="4"/>
      <c r="U1011" s="32"/>
      <c r="V1011" s="4"/>
      <c r="W1011" s="4"/>
      <c r="X1011" s="33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</row>
    <row r="1012" spans="1:41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32"/>
      <c r="L1012" s="4"/>
      <c r="M1012" s="4"/>
      <c r="N1012" s="4"/>
      <c r="O1012" s="4"/>
      <c r="P1012" s="4"/>
      <c r="Q1012" s="4"/>
      <c r="R1012" s="4"/>
      <c r="S1012" s="4"/>
      <c r="T1012" s="4"/>
      <c r="U1012" s="32"/>
      <c r="V1012" s="4"/>
      <c r="W1012" s="4"/>
      <c r="X1012" s="33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</row>
    <row r="1013" spans="1:41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32"/>
      <c r="L1013" s="4"/>
      <c r="M1013" s="4"/>
      <c r="N1013" s="4"/>
      <c r="O1013" s="4"/>
      <c r="P1013" s="4"/>
      <c r="Q1013" s="4"/>
      <c r="R1013" s="4"/>
      <c r="S1013" s="4"/>
      <c r="T1013" s="4"/>
      <c r="U1013" s="32"/>
      <c r="V1013" s="4"/>
      <c r="W1013" s="4"/>
      <c r="X1013" s="33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</row>
    <row r="1014" spans="1:41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32"/>
      <c r="L1014" s="4"/>
      <c r="M1014" s="4"/>
      <c r="N1014" s="4"/>
      <c r="O1014" s="4"/>
      <c r="P1014" s="4"/>
      <c r="Q1014" s="4"/>
      <c r="R1014" s="4"/>
      <c r="S1014" s="4"/>
      <c r="T1014" s="4"/>
      <c r="U1014" s="32"/>
      <c r="V1014" s="4"/>
      <c r="W1014" s="4"/>
      <c r="X1014" s="33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</row>
    <row r="1015" spans="1:41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32"/>
      <c r="L1015" s="4"/>
      <c r="M1015" s="4"/>
      <c r="N1015" s="4"/>
      <c r="O1015" s="4"/>
      <c r="P1015" s="4"/>
      <c r="Q1015" s="4"/>
      <c r="R1015" s="4"/>
      <c r="S1015" s="4"/>
      <c r="T1015" s="4"/>
      <c r="U1015" s="32"/>
      <c r="V1015" s="4"/>
      <c r="W1015" s="4"/>
      <c r="X1015" s="33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</row>
    <row r="1016" spans="1:41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32"/>
      <c r="L1016" s="4"/>
      <c r="M1016" s="4"/>
      <c r="N1016" s="4"/>
      <c r="O1016" s="4"/>
      <c r="P1016" s="4"/>
      <c r="Q1016" s="4"/>
      <c r="R1016" s="4"/>
      <c r="S1016" s="4"/>
      <c r="T1016" s="4"/>
      <c r="U1016" s="32"/>
      <c r="V1016" s="4"/>
      <c r="W1016" s="4"/>
      <c r="X1016" s="33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</row>
    <row r="1017" spans="1:41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32"/>
      <c r="L1017" s="4"/>
      <c r="M1017" s="4"/>
      <c r="N1017" s="4"/>
      <c r="O1017" s="4"/>
      <c r="P1017" s="4"/>
      <c r="Q1017" s="4"/>
      <c r="R1017" s="4"/>
      <c r="S1017" s="4"/>
      <c r="T1017" s="4"/>
      <c r="U1017" s="32"/>
      <c r="V1017" s="4"/>
      <c r="W1017" s="4"/>
      <c r="X1017" s="33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</row>
    <row r="1018" spans="1:41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32"/>
      <c r="L1018" s="4"/>
      <c r="M1018" s="4"/>
      <c r="N1018" s="4"/>
      <c r="O1018" s="4"/>
      <c r="P1018" s="4"/>
      <c r="Q1018" s="4"/>
      <c r="R1018" s="4"/>
      <c r="S1018" s="4"/>
      <c r="T1018" s="4"/>
      <c r="U1018" s="32"/>
      <c r="V1018" s="4"/>
      <c r="W1018" s="4"/>
      <c r="X1018" s="33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</row>
    <row r="1019" spans="1:41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32"/>
      <c r="L1019" s="4"/>
      <c r="M1019" s="4"/>
      <c r="N1019" s="4"/>
      <c r="O1019" s="4"/>
      <c r="P1019" s="4"/>
      <c r="Q1019" s="4"/>
      <c r="R1019" s="4"/>
      <c r="S1019" s="4"/>
      <c r="T1019" s="4"/>
      <c r="U1019" s="32"/>
      <c r="V1019" s="4"/>
      <c r="W1019" s="4"/>
      <c r="X1019" s="33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</row>
    <row r="1020" spans="1:41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32"/>
      <c r="L1020" s="4"/>
      <c r="M1020" s="4"/>
      <c r="N1020" s="4"/>
      <c r="O1020" s="4"/>
      <c r="P1020" s="4"/>
      <c r="Q1020" s="4"/>
      <c r="R1020" s="4"/>
      <c r="S1020" s="4"/>
      <c r="T1020" s="4"/>
      <c r="U1020" s="32"/>
      <c r="V1020" s="4"/>
      <c r="W1020" s="4"/>
      <c r="X1020" s="33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</row>
    <row r="1021" spans="1:4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32"/>
      <c r="L1021" s="4"/>
      <c r="M1021" s="4"/>
      <c r="N1021" s="4"/>
      <c r="O1021" s="4"/>
      <c r="P1021" s="4"/>
      <c r="Q1021" s="4"/>
      <c r="R1021" s="4"/>
      <c r="S1021" s="4"/>
      <c r="T1021" s="4"/>
      <c r="U1021" s="32"/>
      <c r="V1021" s="4"/>
      <c r="W1021" s="4"/>
      <c r="X1021" s="33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</row>
    <row r="1022" spans="1:41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32"/>
      <c r="L1022" s="4"/>
      <c r="M1022" s="4"/>
      <c r="N1022" s="4"/>
      <c r="O1022" s="4"/>
      <c r="P1022" s="4"/>
      <c r="Q1022" s="4"/>
      <c r="R1022" s="4"/>
      <c r="S1022" s="4"/>
      <c r="T1022" s="4"/>
      <c r="U1022" s="32"/>
      <c r="V1022" s="4"/>
      <c r="W1022" s="4"/>
      <c r="X1022" s="33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</row>
    <row r="1023" spans="1:41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32"/>
      <c r="L1023" s="4"/>
      <c r="M1023" s="4"/>
      <c r="N1023" s="4"/>
      <c r="O1023" s="4"/>
      <c r="P1023" s="4"/>
      <c r="Q1023" s="4"/>
      <c r="R1023" s="4"/>
      <c r="S1023" s="4"/>
      <c r="T1023" s="4"/>
      <c r="U1023" s="32"/>
      <c r="V1023" s="4"/>
      <c r="W1023" s="4"/>
      <c r="X1023" s="33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</row>
    <row r="1024" spans="1:41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32"/>
      <c r="L1024" s="4"/>
      <c r="M1024" s="4"/>
      <c r="N1024" s="4"/>
      <c r="O1024" s="4"/>
      <c r="P1024" s="4"/>
      <c r="Q1024" s="4"/>
      <c r="R1024" s="4"/>
      <c r="S1024" s="4"/>
      <c r="T1024" s="4"/>
      <c r="U1024" s="32"/>
      <c r="V1024" s="4"/>
      <c r="W1024" s="4"/>
      <c r="X1024" s="33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</row>
    <row r="1025" spans="1:41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32"/>
      <c r="L1025" s="4"/>
      <c r="M1025" s="4"/>
      <c r="N1025" s="4"/>
      <c r="O1025" s="4"/>
      <c r="P1025" s="4"/>
      <c r="Q1025" s="4"/>
      <c r="R1025" s="4"/>
      <c r="S1025" s="4"/>
      <c r="T1025" s="4"/>
      <c r="U1025" s="32"/>
      <c r="V1025" s="4"/>
      <c r="W1025" s="4"/>
      <c r="X1025" s="33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</row>
    <row r="1026" spans="1:41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32"/>
      <c r="L1026" s="4"/>
      <c r="M1026" s="4"/>
      <c r="N1026" s="4"/>
      <c r="O1026" s="4"/>
      <c r="P1026" s="4"/>
      <c r="Q1026" s="4"/>
      <c r="R1026" s="4"/>
      <c r="S1026" s="4"/>
      <c r="T1026" s="4"/>
      <c r="U1026" s="32"/>
      <c r="V1026" s="4"/>
      <c r="W1026" s="4"/>
      <c r="X1026" s="33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</row>
    <row r="1027" spans="1:41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32"/>
      <c r="L1027" s="4"/>
      <c r="M1027" s="4"/>
      <c r="N1027" s="4"/>
      <c r="O1027" s="4"/>
      <c r="P1027" s="4"/>
      <c r="Q1027" s="4"/>
      <c r="R1027" s="4"/>
      <c r="S1027" s="4"/>
      <c r="T1027" s="4"/>
      <c r="U1027" s="32"/>
      <c r="V1027" s="4"/>
      <c r="W1027" s="4"/>
      <c r="X1027" s="33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</row>
    <row r="1028" spans="1:41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32"/>
      <c r="L1028" s="4"/>
      <c r="M1028" s="4"/>
      <c r="N1028" s="4"/>
      <c r="O1028" s="4"/>
      <c r="P1028" s="4"/>
      <c r="Q1028" s="4"/>
      <c r="R1028" s="4"/>
      <c r="S1028" s="4"/>
      <c r="T1028" s="4"/>
      <c r="U1028" s="32"/>
      <c r="V1028" s="4"/>
      <c r="W1028" s="4"/>
      <c r="X1028" s="33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</row>
    <row r="1029" spans="1:41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32"/>
      <c r="L1029" s="4"/>
      <c r="M1029" s="4"/>
      <c r="N1029" s="4"/>
      <c r="O1029" s="4"/>
      <c r="P1029" s="4"/>
      <c r="Q1029" s="4"/>
      <c r="R1029" s="4"/>
      <c r="S1029" s="4"/>
      <c r="T1029" s="4"/>
      <c r="U1029" s="32"/>
      <c r="V1029" s="4"/>
      <c r="W1029" s="4"/>
      <c r="X1029" s="33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</row>
    <row r="1030" spans="1:41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32"/>
      <c r="L1030" s="4"/>
      <c r="M1030" s="4"/>
      <c r="N1030" s="4"/>
      <c r="O1030" s="4"/>
      <c r="P1030" s="4"/>
      <c r="Q1030" s="4"/>
      <c r="R1030" s="4"/>
      <c r="S1030" s="4"/>
      <c r="T1030" s="4"/>
      <c r="U1030" s="32"/>
      <c r="V1030" s="4"/>
      <c r="W1030" s="4"/>
      <c r="X1030" s="33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</row>
    <row r="1031" spans="1:4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32"/>
      <c r="L1031" s="4"/>
      <c r="M1031" s="4"/>
      <c r="N1031" s="4"/>
      <c r="O1031" s="4"/>
      <c r="P1031" s="4"/>
      <c r="Q1031" s="4"/>
      <c r="R1031" s="4"/>
      <c r="S1031" s="4"/>
      <c r="T1031" s="4"/>
      <c r="U1031" s="32"/>
      <c r="V1031" s="4"/>
      <c r="W1031" s="4"/>
      <c r="X1031" s="33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</row>
    <row r="1032" spans="1:41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32"/>
      <c r="L1032" s="4"/>
      <c r="M1032" s="4"/>
      <c r="N1032" s="4"/>
      <c r="O1032" s="4"/>
      <c r="P1032" s="4"/>
      <c r="Q1032" s="4"/>
      <c r="R1032" s="4"/>
      <c r="S1032" s="4"/>
      <c r="T1032" s="4"/>
      <c r="U1032" s="32"/>
      <c r="V1032" s="4"/>
      <c r="W1032" s="4"/>
      <c r="X1032" s="33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</row>
    <row r="1033" spans="1:41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32"/>
      <c r="L1033" s="4"/>
      <c r="M1033" s="4"/>
      <c r="N1033" s="4"/>
      <c r="O1033" s="4"/>
      <c r="P1033" s="4"/>
      <c r="Q1033" s="4"/>
      <c r="R1033" s="4"/>
      <c r="S1033" s="4"/>
      <c r="T1033" s="4"/>
      <c r="U1033" s="32"/>
      <c r="V1033" s="4"/>
      <c r="W1033" s="4"/>
      <c r="X1033" s="33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</row>
    <row r="1034" spans="1:41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32"/>
      <c r="L1034" s="4"/>
      <c r="M1034" s="4"/>
      <c r="N1034" s="4"/>
      <c r="O1034" s="4"/>
      <c r="P1034" s="4"/>
      <c r="Q1034" s="4"/>
      <c r="R1034" s="4"/>
      <c r="S1034" s="4"/>
      <c r="T1034" s="4"/>
      <c r="U1034" s="32"/>
      <c r="V1034" s="4"/>
      <c r="W1034" s="4"/>
      <c r="X1034" s="33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</row>
    <row r="1035" spans="1:41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32"/>
      <c r="L1035" s="4"/>
      <c r="M1035" s="4"/>
      <c r="N1035" s="4"/>
      <c r="O1035" s="4"/>
      <c r="P1035" s="4"/>
      <c r="Q1035" s="4"/>
      <c r="R1035" s="4"/>
      <c r="S1035" s="4"/>
      <c r="T1035" s="4"/>
      <c r="U1035" s="32"/>
      <c r="V1035" s="4"/>
      <c r="W1035" s="4"/>
      <c r="X1035" s="33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</row>
    <row r="1036" spans="1:41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32"/>
      <c r="L1036" s="4"/>
      <c r="M1036" s="4"/>
      <c r="N1036" s="4"/>
      <c r="O1036" s="4"/>
      <c r="P1036" s="4"/>
      <c r="Q1036" s="4"/>
      <c r="R1036" s="4"/>
      <c r="S1036" s="4"/>
      <c r="T1036" s="4"/>
      <c r="U1036" s="32"/>
      <c r="V1036" s="4"/>
      <c r="W1036" s="4"/>
      <c r="X1036" s="33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</row>
    <row r="1037" spans="1:41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32"/>
      <c r="L1037" s="4"/>
      <c r="M1037" s="4"/>
      <c r="N1037" s="4"/>
      <c r="O1037" s="4"/>
      <c r="P1037" s="4"/>
      <c r="Q1037" s="4"/>
      <c r="R1037" s="4"/>
      <c r="S1037" s="4"/>
      <c r="T1037" s="4"/>
      <c r="U1037" s="32"/>
      <c r="V1037" s="4"/>
      <c r="W1037" s="4"/>
      <c r="X1037" s="33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</row>
    <row r="1038" spans="1:41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32"/>
      <c r="L1038" s="4"/>
      <c r="M1038" s="4"/>
      <c r="N1038" s="4"/>
      <c r="O1038" s="4"/>
      <c r="P1038" s="4"/>
      <c r="Q1038" s="4"/>
      <c r="R1038" s="4"/>
      <c r="S1038" s="4"/>
      <c r="T1038" s="4"/>
      <c r="U1038" s="32"/>
      <c r="V1038" s="4"/>
      <c r="W1038" s="4"/>
      <c r="X1038" s="33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</row>
    <row r="1039" spans="1:41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32"/>
      <c r="L1039" s="4"/>
      <c r="M1039" s="4"/>
      <c r="N1039" s="4"/>
      <c r="O1039" s="4"/>
      <c r="P1039" s="4"/>
      <c r="Q1039" s="4"/>
      <c r="R1039" s="4"/>
      <c r="S1039" s="4"/>
      <c r="T1039" s="4"/>
      <c r="U1039" s="32"/>
      <c r="V1039" s="4"/>
      <c r="W1039" s="4"/>
      <c r="X1039" s="33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</row>
    <row r="1040" spans="1:41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32"/>
      <c r="L1040" s="4"/>
      <c r="M1040" s="4"/>
      <c r="N1040" s="4"/>
      <c r="O1040" s="4"/>
      <c r="P1040" s="4"/>
      <c r="Q1040" s="4"/>
      <c r="R1040" s="4"/>
      <c r="S1040" s="4"/>
      <c r="T1040" s="4"/>
      <c r="U1040" s="32"/>
      <c r="V1040" s="4"/>
      <c r="W1040" s="4"/>
      <c r="X1040" s="33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</row>
    <row r="1041" spans="1: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32"/>
      <c r="L1041" s="4"/>
      <c r="M1041" s="4"/>
      <c r="N1041" s="4"/>
      <c r="O1041" s="4"/>
      <c r="P1041" s="4"/>
      <c r="Q1041" s="4"/>
      <c r="R1041" s="4"/>
      <c r="S1041" s="4"/>
      <c r="T1041" s="4"/>
      <c r="U1041" s="32"/>
      <c r="V1041" s="4"/>
      <c r="W1041" s="4"/>
      <c r="X1041" s="33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</row>
    <row r="1042" spans="1:41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32"/>
      <c r="L1042" s="4"/>
      <c r="M1042" s="4"/>
      <c r="N1042" s="4"/>
      <c r="O1042" s="4"/>
      <c r="P1042" s="4"/>
      <c r="Q1042" s="4"/>
      <c r="R1042" s="4"/>
      <c r="S1042" s="4"/>
      <c r="T1042" s="4"/>
      <c r="U1042" s="32"/>
      <c r="V1042" s="4"/>
      <c r="W1042" s="4"/>
      <c r="X1042" s="33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</row>
    <row r="1043" spans="1:41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32"/>
      <c r="L1043" s="4"/>
      <c r="M1043" s="4"/>
      <c r="N1043" s="4"/>
      <c r="O1043" s="4"/>
      <c r="P1043" s="4"/>
      <c r="Q1043" s="4"/>
      <c r="R1043" s="4"/>
      <c r="S1043" s="4"/>
      <c r="T1043" s="4"/>
      <c r="U1043" s="32"/>
      <c r="V1043" s="4"/>
      <c r="W1043" s="4"/>
      <c r="X1043" s="33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</row>
    <row r="1044" spans="1:41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32"/>
      <c r="L1044" s="4"/>
      <c r="M1044" s="4"/>
      <c r="N1044" s="4"/>
      <c r="O1044" s="4"/>
      <c r="P1044" s="4"/>
      <c r="Q1044" s="4"/>
      <c r="R1044" s="4"/>
      <c r="S1044" s="4"/>
      <c r="T1044" s="4"/>
      <c r="U1044" s="32"/>
      <c r="V1044" s="4"/>
      <c r="W1044" s="4"/>
      <c r="X1044" s="33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</row>
    <row r="1045" spans="1:41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32"/>
      <c r="L1045" s="4"/>
      <c r="M1045" s="4"/>
      <c r="N1045" s="4"/>
      <c r="O1045" s="4"/>
      <c r="P1045" s="4"/>
      <c r="Q1045" s="4"/>
      <c r="R1045" s="4"/>
      <c r="S1045" s="4"/>
      <c r="T1045" s="4"/>
      <c r="U1045" s="32"/>
      <c r="V1045" s="4"/>
      <c r="W1045" s="4"/>
      <c r="X1045" s="33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</row>
    <row r="1046" spans="1:41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32"/>
      <c r="L1046" s="4"/>
      <c r="M1046" s="4"/>
      <c r="N1046" s="4"/>
      <c r="O1046" s="4"/>
      <c r="P1046" s="4"/>
      <c r="Q1046" s="4"/>
      <c r="R1046" s="4"/>
      <c r="S1046" s="4"/>
      <c r="T1046" s="4"/>
      <c r="U1046" s="32"/>
      <c r="V1046" s="4"/>
      <c r="W1046" s="4"/>
      <c r="X1046" s="33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</row>
    <row r="1047" spans="1:41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32"/>
      <c r="L1047" s="4"/>
      <c r="M1047" s="4"/>
      <c r="N1047" s="4"/>
      <c r="O1047" s="4"/>
      <c r="P1047" s="4"/>
      <c r="Q1047" s="4"/>
      <c r="R1047" s="4"/>
      <c r="S1047" s="4"/>
      <c r="T1047" s="4"/>
      <c r="U1047" s="32"/>
      <c r="V1047" s="4"/>
      <c r="W1047" s="4"/>
      <c r="X1047" s="33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</row>
    <row r="1048" spans="1:41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32"/>
      <c r="L1048" s="4"/>
      <c r="M1048" s="4"/>
      <c r="N1048" s="4"/>
      <c r="O1048" s="4"/>
      <c r="P1048" s="4"/>
      <c r="Q1048" s="4"/>
      <c r="R1048" s="4"/>
      <c r="S1048" s="4"/>
      <c r="T1048" s="4"/>
      <c r="U1048" s="32"/>
      <c r="V1048" s="4"/>
      <c r="W1048" s="4"/>
      <c r="X1048" s="33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</row>
    <row r="1049" spans="1:41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32"/>
      <c r="L1049" s="4"/>
      <c r="M1049" s="4"/>
      <c r="N1049" s="4"/>
      <c r="O1049" s="4"/>
      <c r="P1049" s="4"/>
      <c r="Q1049" s="4"/>
      <c r="R1049" s="4"/>
      <c r="S1049" s="4"/>
      <c r="T1049" s="4"/>
      <c r="U1049" s="32"/>
      <c r="V1049" s="4"/>
      <c r="W1049" s="4"/>
      <c r="X1049" s="33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</row>
    <row r="1050" spans="1:41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32"/>
      <c r="L1050" s="4"/>
      <c r="M1050" s="4"/>
      <c r="N1050" s="4"/>
      <c r="O1050" s="4"/>
      <c r="P1050" s="4"/>
      <c r="Q1050" s="4"/>
      <c r="R1050" s="4"/>
      <c r="S1050" s="4"/>
      <c r="T1050" s="4"/>
      <c r="U1050" s="32"/>
      <c r="V1050" s="4"/>
      <c r="W1050" s="4"/>
      <c r="X1050" s="33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</row>
    <row r="1051" spans="1:4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32"/>
      <c r="L1051" s="4"/>
      <c r="M1051" s="4"/>
      <c r="N1051" s="4"/>
      <c r="O1051" s="4"/>
      <c r="P1051" s="4"/>
      <c r="Q1051" s="4"/>
      <c r="R1051" s="4"/>
      <c r="S1051" s="4"/>
      <c r="T1051" s="4"/>
      <c r="U1051" s="32"/>
      <c r="V1051" s="4"/>
      <c r="W1051" s="4"/>
      <c r="X1051" s="33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</row>
    <row r="1052" spans="1:41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32"/>
      <c r="L1052" s="4"/>
      <c r="M1052" s="4"/>
      <c r="N1052" s="4"/>
      <c r="O1052" s="4"/>
      <c r="P1052" s="4"/>
      <c r="Q1052" s="4"/>
      <c r="R1052" s="4"/>
      <c r="S1052" s="4"/>
      <c r="T1052" s="4"/>
      <c r="U1052" s="32"/>
      <c r="V1052" s="4"/>
      <c r="W1052" s="4"/>
      <c r="X1052" s="33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</row>
    <row r="1053" spans="1:41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32"/>
      <c r="L1053" s="4"/>
      <c r="M1053" s="4"/>
      <c r="N1053" s="4"/>
      <c r="O1053" s="4"/>
      <c r="P1053" s="4"/>
      <c r="Q1053" s="4"/>
      <c r="R1053" s="4"/>
      <c r="S1053" s="4"/>
      <c r="T1053" s="4"/>
      <c r="U1053" s="32"/>
      <c r="V1053" s="4"/>
      <c r="W1053" s="4"/>
      <c r="X1053" s="33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</row>
    <row r="1054" spans="1:41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32"/>
      <c r="L1054" s="4"/>
      <c r="M1054" s="4"/>
      <c r="N1054" s="4"/>
      <c r="O1054" s="4"/>
      <c r="P1054" s="4"/>
      <c r="Q1054" s="4"/>
      <c r="R1054" s="4"/>
      <c r="S1054" s="4"/>
      <c r="T1054" s="4"/>
      <c r="U1054" s="32"/>
      <c r="V1054" s="4"/>
      <c r="W1054" s="4"/>
      <c r="X1054" s="33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</row>
    <row r="1055" spans="1:41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32"/>
      <c r="L1055" s="4"/>
      <c r="M1055" s="4"/>
      <c r="N1055" s="4"/>
      <c r="O1055" s="4"/>
      <c r="P1055" s="4"/>
      <c r="Q1055" s="4"/>
      <c r="R1055" s="4"/>
      <c r="S1055" s="4"/>
      <c r="T1055" s="4"/>
      <c r="U1055" s="32"/>
      <c r="V1055" s="4"/>
      <c r="W1055" s="4"/>
      <c r="X1055" s="33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</row>
    <row r="1056" spans="1:41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32"/>
      <c r="L1056" s="4"/>
      <c r="M1056" s="4"/>
      <c r="N1056" s="4"/>
      <c r="O1056" s="4"/>
      <c r="P1056" s="4"/>
      <c r="Q1056" s="4"/>
      <c r="R1056" s="4"/>
      <c r="S1056" s="4"/>
      <c r="T1056" s="4"/>
      <c r="U1056" s="32"/>
      <c r="V1056" s="4"/>
      <c r="W1056" s="4"/>
      <c r="X1056" s="33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</row>
    <row r="1057" spans="1:41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32"/>
      <c r="L1057" s="4"/>
      <c r="M1057" s="4"/>
      <c r="N1057" s="4"/>
      <c r="O1057" s="4"/>
      <c r="P1057" s="4"/>
      <c r="Q1057" s="4"/>
      <c r="R1057" s="4"/>
      <c r="S1057" s="4"/>
      <c r="T1057" s="4"/>
      <c r="U1057" s="32"/>
      <c r="V1057" s="4"/>
      <c r="W1057" s="4"/>
      <c r="X1057" s="33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</row>
    <row r="1058" spans="1:41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32"/>
      <c r="L1058" s="4"/>
      <c r="M1058" s="4"/>
      <c r="N1058" s="4"/>
      <c r="O1058" s="4"/>
      <c r="P1058" s="4"/>
      <c r="Q1058" s="4"/>
      <c r="R1058" s="4"/>
      <c r="S1058" s="4"/>
      <c r="T1058" s="4"/>
      <c r="U1058" s="32"/>
      <c r="V1058" s="4"/>
      <c r="W1058" s="4"/>
      <c r="X1058" s="33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</row>
    <row r="1059" spans="1:41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32"/>
      <c r="L1059" s="4"/>
      <c r="M1059" s="4"/>
      <c r="N1059" s="4"/>
      <c r="O1059" s="4"/>
      <c r="P1059" s="4"/>
      <c r="Q1059" s="4"/>
      <c r="R1059" s="4"/>
      <c r="S1059" s="4"/>
      <c r="T1059" s="4"/>
      <c r="U1059" s="32"/>
      <c r="V1059" s="4"/>
      <c r="W1059" s="4"/>
      <c r="X1059" s="33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</row>
    <row r="1060" spans="1:41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32"/>
      <c r="L1060" s="4"/>
      <c r="M1060" s="4"/>
      <c r="N1060" s="4"/>
      <c r="O1060" s="4"/>
      <c r="P1060" s="4"/>
      <c r="Q1060" s="4"/>
      <c r="R1060" s="4"/>
      <c r="S1060" s="4"/>
      <c r="T1060" s="4"/>
      <c r="U1060" s="32"/>
      <c r="V1060" s="4"/>
      <c r="W1060" s="4"/>
      <c r="X1060" s="33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</row>
    <row r="1061" spans="1:4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32"/>
      <c r="L1061" s="4"/>
      <c r="M1061" s="4"/>
      <c r="N1061" s="4"/>
      <c r="O1061" s="4"/>
      <c r="P1061" s="4"/>
      <c r="Q1061" s="4"/>
      <c r="R1061" s="4"/>
      <c r="S1061" s="4"/>
      <c r="T1061" s="4"/>
      <c r="U1061" s="32"/>
      <c r="V1061" s="4"/>
      <c r="W1061" s="4"/>
      <c r="X1061" s="33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</row>
    <row r="1062" spans="1:41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32"/>
      <c r="L1062" s="4"/>
      <c r="M1062" s="4"/>
      <c r="N1062" s="4"/>
      <c r="O1062" s="4"/>
      <c r="P1062" s="4"/>
      <c r="Q1062" s="4"/>
      <c r="R1062" s="4"/>
      <c r="S1062" s="4"/>
      <c r="T1062" s="4"/>
      <c r="U1062" s="32"/>
      <c r="V1062" s="4"/>
      <c r="W1062" s="4"/>
      <c r="X1062" s="33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</row>
    <row r="1063" spans="1:41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32"/>
      <c r="L1063" s="4"/>
      <c r="M1063" s="4"/>
      <c r="N1063" s="4"/>
      <c r="O1063" s="4"/>
      <c r="P1063" s="4"/>
      <c r="Q1063" s="4"/>
      <c r="R1063" s="4"/>
      <c r="S1063" s="4"/>
      <c r="T1063" s="4"/>
      <c r="U1063" s="32"/>
      <c r="V1063" s="4"/>
      <c r="W1063" s="4"/>
      <c r="X1063" s="33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</row>
    <row r="1064" spans="1:41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32"/>
      <c r="L1064" s="4"/>
      <c r="M1064" s="4"/>
      <c r="N1064" s="4"/>
      <c r="O1064" s="4"/>
      <c r="P1064" s="4"/>
      <c r="Q1064" s="4"/>
      <c r="R1064" s="4"/>
      <c r="S1064" s="4"/>
      <c r="T1064" s="4"/>
      <c r="U1064" s="32"/>
      <c r="V1064" s="4"/>
      <c r="W1064" s="4"/>
      <c r="X1064" s="33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</row>
    <row r="1065" spans="1:41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32"/>
      <c r="L1065" s="4"/>
      <c r="M1065" s="4"/>
      <c r="N1065" s="4"/>
      <c r="O1065" s="4"/>
      <c r="P1065" s="4"/>
      <c r="Q1065" s="4"/>
      <c r="R1065" s="4"/>
      <c r="S1065" s="4"/>
      <c r="T1065" s="4"/>
      <c r="U1065" s="32"/>
      <c r="V1065" s="4"/>
      <c r="W1065" s="4"/>
      <c r="X1065" s="33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</row>
    <row r="1066" spans="1:41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32"/>
      <c r="L1066" s="4"/>
      <c r="M1066" s="4"/>
      <c r="N1066" s="4"/>
      <c r="O1066" s="4"/>
      <c r="P1066" s="4"/>
      <c r="Q1066" s="4"/>
      <c r="R1066" s="4"/>
      <c r="S1066" s="4"/>
      <c r="T1066" s="4"/>
      <c r="U1066" s="32"/>
      <c r="V1066" s="4"/>
      <c r="W1066" s="4"/>
      <c r="X1066" s="33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</row>
    <row r="1067" spans="1:41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32"/>
      <c r="L1067" s="4"/>
      <c r="M1067" s="4"/>
      <c r="N1067" s="4"/>
      <c r="O1067" s="4"/>
      <c r="P1067" s="4"/>
      <c r="Q1067" s="4"/>
      <c r="R1067" s="4"/>
      <c r="S1067" s="4"/>
      <c r="T1067" s="4"/>
      <c r="U1067" s="32"/>
      <c r="V1067" s="4"/>
      <c r="W1067" s="4"/>
      <c r="X1067" s="33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</row>
    <row r="1068" spans="1:41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32"/>
      <c r="L1068" s="4"/>
      <c r="M1068" s="4"/>
      <c r="N1068" s="4"/>
      <c r="O1068" s="4"/>
      <c r="P1068" s="4"/>
      <c r="Q1068" s="4"/>
      <c r="R1068" s="4"/>
      <c r="S1068" s="4"/>
      <c r="T1068" s="4"/>
      <c r="U1068" s="32"/>
      <c r="V1068" s="4"/>
      <c r="W1068" s="4"/>
      <c r="X1068" s="33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</row>
    <row r="1069" spans="1:41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32"/>
      <c r="L1069" s="4"/>
      <c r="M1069" s="4"/>
      <c r="N1069" s="4"/>
      <c r="O1069" s="4"/>
      <c r="P1069" s="4"/>
      <c r="Q1069" s="4"/>
      <c r="R1069" s="4"/>
      <c r="S1069" s="4"/>
      <c r="T1069" s="4"/>
      <c r="U1069" s="32"/>
      <c r="V1069" s="4"/>
      <c r="W1069" s="4"/>
      <c r="X1069" s="33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</row>
    <row r="1070" spans="1:41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32"/>
      <c r="L1070" s="4"/>
      <c r="M1070" s="4"/>
      <c r="N1070" s="4"/>
      <c r="O1070" s="4"/>
      <c r="P1070" s="4"/>
      <c r="Q1070" s="4"/>
      <c r="R1070" s="4"/>
      <c r="S1070" s="4"/>
      <c r="T1070" s="4"/>
      <c r="U1070" s="32"/>
      <c r="V1070" s="4"/>
      <c r="W1070" s="4"/>
      <c r="X1070" s="33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</row>
    <row r="1071" spans="1:4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32"/>
      <c r="L1071" s="4"/>
      <c r="M1071" s="4"/>
      <c r="N1071" s="4"/>
      <c r="O1071" s="4"/>
      <c r="P1071" s="4"/>
      <c r="Q1071" s="4"/>
      <c r="R1071" s="4"/>
      <c r="S1071" s="4"/>
      <c r="T1071" s="4"/>
      <c r="U1071" s="32"/>
      <c r="V1071" s="4"/>
      <c r="W1071" s="4"/>
      <c r="X1071" s="33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</row>
    <row r="1072" spans="1:41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32"/>
      <c r="L1072" s="4"/>
      <c r="M1072" s="4"/>
      <c r="N1072" s="4"/>
      <c r="O1072" s="4"/>
      <c r="P1072" s="4"/>
      <c r="Q1072" s="4"/>
      <c r="R1072" s="4"/>
      <c r="S1072" s="4"/>
      <c r="T1072" s="4"/>
      <c r="U1072" s="32"/>
      <c r="V1072" s="4"/>
      <c r="W1072" s="4"/>
      <c r="X1072" s="33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</row>
    <row r="1073" spans="1:41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32"/>
      <c r="L1073" s="4"/>
      <c r="M1073" s="4"/>
      <c r="N1073" s="4"/>
      <c r="O1073" s="4"/>
      <c r="P1073" s="4"/>
      <c r="Q1073" s="4"/>
      <c r="R1073" s="4"/>
      <c r="S1073" s="4"/>
      <c r="T1073" s="4"/>
      <c r="U1073" s="32"/>
      <c r="V1073" s="4"/>
      <c r="W1073" s="4"/>
      <c r="X1073" s="33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</row>
    <row r="1074" spans="1:41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32"/>
      <c r="L1074" s="4"/>
      <c r="M1074" s="4"/>
      <c r="N1074" s="4"/>
      <c r="O1074" s="4"/>
      <c r="P1074" s="4"/>
      <c r="Q1074" s="4"/>
      <c r="R1074" s="4"/>
      <c r="S1074" s="4"/>
      <c r="T1074" s="4"/>
      <c r="U1074" s="32"/>
      <c r="V1074" s="4"/>
      <c r="W1074" s="4"/>
      <c r="X1074" s="33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</row>
    <row r="1075" spans="1:41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32"/>
      <c r="L1075" s="4"/>
      <c r="M1075" s="4"/>
      <c r="N1075" s="4"/>
      <c r="O1075" s="4"/>
      <c r="P1075" s="4"/>
      <c r="Q1075" s="4"/>
      <c r="R1075" s="4"/>
      <c r="S1075" s="4"/>
      <c r="T1075" s="4"/>
      <c r="U1075" s="32"/>
      <c r="V1075" s="4"/>
      <c r="W1075" s="4"/>
      <c r="X1075" s="33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</row>
    <row r="1076" spans="1:41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32"/>
      <c r="L1076" s="4"/>
      <c r="M1076" s="4"/>
      <c r="N1076" s="4"/>
      <c r="O1076" s="4"/>
      <c r="P1076" s="4"/>
      <c r="Q1076" s="4"/>
      <c r="R1076" s="4"/>
      <c r="S1076" s="4"/>
      <c r="T1076" s="4"/>
      <c r="U1076" s="32"/>
      <c r="V1076" s="4"/>
      <c r="W1076" s="4"/>
      <c r="X1076" s="33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</row>
    <row r="1077" spans="1:41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32"/>
      <c r="L1077" s="4"/>
      <c r="M1077" s="4"/>
      <c r="N1077" s="4"/>
      <c r="O1077" s="4"/>
      <c r="P1077" s="4"/>
      <c r="Q1077" s="4"/>
      <c r="R1077" s="4"/>
      <c r="S1077" s="4"/>
      <c r="T1077" s="4"/>
      <c r="U1077" s="32"/>
      <c r="V1077" s="4"/>
      <c r="W1077" s="4"/>
      <c r="X1077" s="33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</row>
    <row r="1078" spans="1:41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32"/>
      <c r="L1078" s="4"/>
      <c r="M1078" s="4"/>
      <c r="N1078" s="4"/>
      <c r="O1078" s="4"/>
      <c r="P1078" s="4"/>
      <c r="Q1078" s="4"/>
      <c r="R1078" s="4"/>
      <c r="S1078" s="4"/>
      <c r="T1078" s="4"/>
      <c r="U1078" s="32"/>
      <c r="V1078" s="4"/>
      <c r="W1078" s="4"/>
      <c r="X1078" s="33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</row>
    <row r="1079" spans="1:41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32"/>
      <c r="L1079" s="4"/>
      <c r="M1079" s="4"/>
      <c r="N1079" s="4"/>
      <c r="O1079" s="4"/>
      <c r="P1079" s="4"/>
      <c r="Q1079" s="4"/>
      <c r="R1079" s="4"/>
      <c r="S1079" s="4"/>
      <c r="T1079" s="4"/>
      <c r="U1079" s="32"/>
      <c r="V1079" s="4"/>
      <c r="W1079" s="4"/>
      <c r="X1079" s="33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</row>
    <row r="1080" spans="1:41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32"/>
      <c r="L1080" s="4"/>
      <c r="M1080" s="4"/>
      <c r="N1080" s="4"/>
      <c r="O1080" s="4"/>
      <c r="P1080" s="4"/>
      <c r="Q1080" s="4"/>
      <c r="R1080" s="4"/>
      <c r="S1080" s="4"/>
      <c r="T1080" s="4"/>
      <c r="U1080" s="32"/>
      <c r="V1080" s="4"/>
      <c r="W1080" s="4"/>
      <c r="X1080" s="33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</row>
    <row r="1081" spans="1:4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32"/>
      <c r="L1081" s="4"/>
      <c r="M1081" s="4"/>
      <c r="N1081" s="4"/>
      <c r="O1081" s="4"/>
      <c r="P1081" s="4"/>
      <c r="Q1081" s="4"/>
      <c r="R1081" s="4"/>
      <c r="S1081" s="4"/>
      <c r="T1081" s="4"/>
      <c r="U1081" s="32"/>
      <c r="V1081" s="4"/>
      <c r="W1081" s="4"/>
      <c r="X1081" s="33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</row>
    <row r="1082" spans="1:41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32"/>
      <c r="L1082" s="4"/>
      <c r="M1082" s="4"/>
      <c r="N1082" s="4"/>
      <c r="O1082" s="4"/>
      <c r="P1082" s="4"/>
      <c r="Q1082" s="4"/>
      <c r="R1082" s="4"/>
      <c r="S1082" s="4"/>
      <c r="T1082" s="4"/>
      <c r="U1082" s="32"/>
      <c r="V1082" s="4"/>
      <c r="W1082" s="4"/>
      <c r="X1082" s="33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</row>
    <row r="1083" spans="1:41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32"/>
      <c r="L1083" s="4"/>
      <c r="M1083" s="4"/>
      <c r="N1083" s="4"/>
      <c r="O1083" s="4"/>
      <c r="P1083" s="4"/>
      <c r="Q1083" s="4"/>
      <c r="R1083" s="4"/>
      <c r="S1083" s="4"/>
      <c r="T1083" s="4"/>
      <c r="U1083" s="32"/>
      <c r="V1083" s="4"/>
      <c r="W1083" s="4"/>
      <c r="X1083" s="33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</row>
    <row r="1084" spans="1:41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32"/>
      <c r="L1084" s="4"/>
      <c r="M1084" s="4"/>
      <c r="N1084" s="4"/>
      <c r="O1084" s="4"/>
      <c r="P1084" s="4"/>
      <c r="Q1084" s="4"/>
      <c r="R1084" s="4"/>
      <c r="S1084" s="4"/>
      <c r="T1084" s="4"/>
      <c r="U1084" s="32"/>
      <c r="V1084" s="4"/>
      <c r="W1084" s="4"/>
      <c r="X1084" s="33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</row>
    <row r="1085" spans="1:41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32"/>
      <c r="L1085" s="4"/>
      <c r="M1085" s="4"/>
      <c r="N1085" s="4"/>
      <c r="O1085" s="4"/>
      <c r="P1085" s="4"/>
      <c r="Q1085" s="4"/>
      <c r="R1085" s="4"/>
      <c r="S1085" s="4"/>
      <c r="T1085" s="4"/>
      <c r="U1085" s="32"/>
      <c r="V1085" s="4"/>
      <c r="W1085" s="4"/>
      <c r="X1085" s="33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</row>
    <row r="1086" spans="1:41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32"/>
      <c r="L1086" s="4"/>
      <c r="M1086" s="4"/>
      <c r="N1086" s="4"/>
      <c r="O1086" s="4"/>
      <c r="P1086" s="4"/>
      <c r="Q1086" s="4"/>
      <c r="R1086" s="4"/>
      <c r="S1086" s="4"/>
      <c r="T1086" s="4"/>
      <c r="U1086" s="32"/>
      <c r="V1086" s="4"/>
      <c r="W1086" s="4"/>
      <c r="X1086" s="33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</row>
    <row r="1087" spans="1:41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32"/>
      <c r="L1087" s="4"/>
      <c r="M1087" s="4"/>
      <c r="N1087" s="4"/>
      <c r="O1087" s="4"/>
      <c r="P1087" s="4"/>
      <c r="Q1087" s="4"/>
      <c r="R1087" s="4"/>
      <c r="S1087" s="4"/>
      <c r="T1087" s="4"/>
      <c r="U1087" s="32"/>
      <c r="V1087" s="4"/>
      <c r="W1087" s="4"/>
      <c r="X1087" s="33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</row>
    <row r="1088" spans="1:41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32"/>
      <c r="L1088" s="4"/>
      <c r="M1088" s="4"/>
      <c r="N1088" s="4"/>
      <c r="O1088" s="4"/>
      <c r="P1088" s="4"/>
      <c r="Q1088" s="4"/>
      <c r="R1088" s="4"/>
      <c r="S1088" s="4"/>
      <c r="T1088" s="4"/>
      <c r="U1088" s="32"/>
      <c r="V1088" s="4"/>
      <c r="W1088" s="4"/>
      <c r="X1088" s="33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</row>
    <row r="1089" spans="1:41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32"/>
      <c r="L1089" s="4"/>
      <c r="M1089" s="4"/>
      <c r="N1089" s="4"/>
      <c r="O1089" s="4"/>
      <c r="P1089" s="4"/>
      <c r="Q1089" s="4"/>
      <c r="R1089" s="4"/>
      <c r="S1089" s="4"/>
      <c r="T1089" s="4"/>
      <c r="U1089" s="32"/>
      <c r="V1089" s="4"/>
      <c r="W1089" s="4"/>
      <c r="X1089" s="33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</row>
    <row r="1090" spans="1:41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32"/>
      <c r="L1090" s="4"/>
      <c r="M1090" s="4"/>
      <c r="N1090" s="4"/>
      <c r="O1090" s="4"/>
      <c r="P1090" s="4"/>
      <c r="Q1090" s="4"/>
      <c r="R1090" s="4"/>
      <c r="S1090" s="4"/>
      <c r="T1090" s="4"/>
      <c r="U1090" s="32"/>
      <c r="V1090" s="4"/>
      <c r="W1090" s="4"/>
      <c r="X1090" s="33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</row>
  </sheetData>
  <hyperlinks>
    <hyperlink ref="K4" r:id="rId1" xr:uid="{0FFDC265-0AC9-4337-8A07-32BBF0021674}"/>
    <hyperlink ref="K5" r:id="rId2" xr:uid="{B91F5641-42F7-49CC-91DF-E2558FF1A422}"/>
    <hyperlink ref="K6" r:id="rId3" xr:uid="{199A6B8A-07A0-47C3-BAFF-95E2ACF25A5D}"/>
    <hyperlink ref="K7" r:id="rId4" xr:uid="{D5C9E398-71F4-4EE1-8D11-16DDADE57931}"/>
    <hyperlink ref="K8" r:id="rId5" xr:uid="{B1B799A8-A19B-4B59-B432-8D6C4164D8CE}"/>
    <hyperlink ref="K9" r:id="rId6" xr:uid="{3AB87F42-67AD-40AE-B1D2-8F79647AFD95}"/>
    <hyperlink ref="K10" r:id="rId7" xr:uid="{03FBB47A-E187-4C18-AEC8-B72142CBB1F6}"/>
    <hyperlink ref="K12" r:id="rId8" xr:uid="{F1257B07-F9FB-4BD6-AD47-155247B6B5BC}"/>
    <hyperlink ref="K13" r:id="rId9" xr:uid="{8515A08F-BEB8-4B8B-9D0C-06C75735280B}"/>
    <hyperlink ref="K14" r:id="rId10" xr:uid="{2D78F1DF-FC14-4156-9416-CE10471DCBEA}"/>
    <hyperlink ref="K15" r:id="rId11" xr:uid="{A1215A0A-4288-4B97-BC55-A4066E5C826E}"/>
    <hyperlink ref="K16" r:id="rId12" xr:uid="{4B47C95A-A7B6-4100-A34E-D5CDDDE48053}"/>
    <hyperlink ref="K17" r:id="rId13" xr:uid="{44498B0A-8F0E-48DD-B6FC-E4F3FE9356F7}"/>
    <hyperlink ref="K18" r:id="rId14" xr:uid="{F659ED0A-4C72-4B75-B17E-345A959EB252}"/>
    <hyperlink ref="K19" r:id="rId15" xr:uid="{ECDA9A2A-5513-45FC-8831-11E5CA16A338}"/>
    <hyperlink ref="K20" r:id="rId16" xr:uid="{80757B17-DD69-44E1-B207-50228AF865B7}"/>
    <hyperlink ref="K21" r:id="rId17" xr:uid="{4F4ADE0D-6633-4062-9608-4BDC216B8DE0}"/>
    <hyperlink ref="K22" r:id="rId18" xr:uid="{DEE870B2-BD2B-4A7F-8E56-58D1758FEB3F}"/>
    <hyperlink ref="K23" r:id="rId19" xr:uid="{875E7671-1F0F-4C0A-A2B3-B073701FE61E}"/>
    <hyperlink ref="K24" r:id="rId20" xr:uid="{3F7AB45F-D06A-46C9-A588-0012CD2D3476}"/>
    <hyperlink ref="K25" r:id="rId21" xr:uid="{44D8932D-4542-4011-B8C5-9A3C37E05651}"/>
    <hyperlink ref="K26" r:id="rId22" xr:uid="{E3991069-1519-4859-9520-37A1C54462B9}"/>
    <hyperlink ref="K27" r:id="rId23" xr:uid="{AFFCAA4D-1C8D-4088-93E4-4A16436BCD9D}"/>
    <hyperlink ref="K29" r:id="rId24" xr:uid="{BBA4EDFD-60B8-42AC-AB77-D55E92413218}"/>
    <hyperlink ref="K30" r:id="rId25" xr:uid="{9B14CDAD-B713-4A79-AC47-FB4B5877CADD}"/>
    <hyperlink ref="K31" r:id="rId26" xr:uid="{D34EA9E1-A108-4597-9FBD-9C9850B04732}"/>
    <hyperlink ref="K32" r:id="rId27" xr:uid="{BD05787B-0ACD-4383-B004-6235C0072DDA}"/>
    <hyperlink ref="K33" r:id="rId28" xr:uid="{C9F49195-C413-4611-A4A0-74B1F3E8CDBA}"/>
    <hyperlink ref="K34" r:id="rId29" xr:uid="{2C8A8D87-DF18-417F-9AE9-B380ECE4F299}"/>
    <hyperlink ref="K35" r:id="rId30" xr:uid="{047D989C-5EA6-4212-A3B4-567A0B0F999F}"/>
    <hyperlink ref="K36" r:id="rId31" xr:uid="{DECBD1B1-E511-4FED-9A0F-C0F4F8A29FCA}"/>
    <hyperlink ref="K37" r:id="rId32" xr:uid="{E10DE56B-ACA7-4187-B54B-3AEE65967262}"/>
    <hyperlink ref="K38" r:id="rId33" xr:uid="{9353DB1F-03AA-4CC7-9869-60434E026393}"/>
    <hyperlink ref="K40" r:id="rId34" xr:uid="{2504F082-0F33-4134-ACC2-5C508335645A}"/>
    <hyperlink ref="K41" r:id="rId35" xr:uid="{A4BA4A6F-BAD9-401A-B6EC-9CC374C07941}"/>
    <hyperlink ref="K42" r:id="rId36" xr:uid="{7C7BEE85-B67B-437F-B55B-474D04AD558E}"/>
    <hyperlink ref="K43" r:id="rId37" xr:uid="{B73BE471-1690-4745-AC36-76A55319B993}"/>
    <hyperlink ref="K44" r:id="rId38" xr:uid="{54AA671C-C225-402E-8ED3-31AE50DF4A91}"/>
    <hyperlink ref="K45" r:id="rId39" xr:uid="{C0EE849D-E03E-4605-902A-5BB324E1AC64}"/>
    <hyperlink ref="K46" r:id="rId40" xr:uid="{D36B1E44-D83E-421A-A32B-8A65964AF37B}"/>
    <hyperlink ref="K47" r:id="rId41" xr:uid="{EB3D122F-EBB3-4B77-9A03-45DD0F68390B}"/>
    <hyperlink ref="K48" r:id="rId42" xr:uid="{CA4E89E8-68E4-4B16-AB78-DBCF68E7F9EC}"/>
    <hyperlink ref="K50" r:id="rId43" xr:uid="{8491E6AB-D7DE-4BAE-9820-75A4402D528D}"/>
    <hyperlink ref="K52" r:id="rId44" xr:uid="{952A211E-9376-4293-AE2E-CBD112004476}"/>
    <hyperlink ref="K53" r:id="rId45" xr:uid="{3F96068C-3254-48D3-89D0-C4FEEC940331}"/>
    <hyperlink ref="K54" r:id="rId46" xr:uid="{3DD8B6EA-E28F-4226-9FBE-A70B902FE26E}"/>
    <hyperlink ref="K55" r:id="rId47" xr:uid="{2D8F45D5-9BF6-490C-82A6-263043FF5BEB}"/>
    <hyperlink ref="K56" r:id="rId48" xr:uid="{93FDFCF9-81C8-4DB8-96A2-19FA5376D7AB}"/>
    <hyperlink ref="K57" r:id="rId49" xr:uid="{604D9158-5F1F-4A93-B74C-86ACA4089550}"/>
    <hyperlink ref="K58" r:id="rId50" xr:uid="{552D651F-9D98-4D20-B821-7A25918AEF33}"/>
    <hyperlink ref="K59" r:id="rId51" xr:uid="{F393C73D-6A52-40BA-AAF2-D6C522206DAF}"/>
    <hyperlink ref="K60" r:id="rId52" xr:uid="{DE174616-9788-49AE-98AE-77FB7570ABA1}"/>
    <hyperlink ref="K61" r:id="rId53" xr:uid="{BEAAB454-E5DC-48F6-B005-2961E252EA40}"/>
    <hyperlink ref="K62" r:id="rId54" xr:uid="{CDB22BF7-4184-4D2D-8BA2-60A6E0669CB9}"/>
    <hyperlink ref="K63" r:id="rId55" xr:uid="{3B045987-4020-43D9-BBDB-617C77921F8C}"/>
    <hyperlink ref="K64" r:id="rId56" xr:uid="{D05F13E9-3BD4-43B1-B3E2-754283133F61}"/>
    <hyperlink ref="K67" r:id="rId57" xr:uid="{46554EB9-C7C7-4639-B70F-97E1EB19048C}"/>
    <hyperlink ref="K68" r:id="rId58" xr:uid="{7BBA57B4-3A1C-406D-82A9-D793C73D2DE8}"/>
    <hyperlink ref="K69" r:id="rId59" xr:uid="{7E103D48-0D8B-4882-8AC9-75C6E5B8DC1E}"/>
    <hyperlink ref="K70" r:id="rId60" xr:uid="{703C3DBB-A897-4EA0-B951-3B866CE37013}"/>
    <hyperlink ref="K71" r:id="rId61" xr:uid="{7F9D38E3-F023-426B-BEA7-0097F30935A5}"/>
    <hyperlink ref="K72" r:id="rId62" xr:uid="{3EE130AD-7C1C-4AB9-ABC4-CD155C14D9E6}"/>
    <hyperlink ref="K73" r:id="rId63" xr:uid="{0D16D1F2-4B4C-4E9D-A711-9B9055233DDB}"/>
    <hyperlink ref="K74" r:id="rId64" xr:uid="{0AB7C5AD-2457-4CDA-B8D4-C824EC92529F}"/>
    <hyperlink ref="K75" r:id="rId65" xr:uid="{366E7255-8811-437A-994B-2D868F508328}"/>
    <hyperlink ref="K76" r:id="rId66" xr:uid="{F21A16CF-16A9-4F74-8757-0F92C8BFF3A1}"/>
    <hyperlink ref="K78" r:id="rId67" xr:uid="{DC2DB525-0FB1-4CA7-B9BD-696B19146A12}"/>
    <hyperlink ref="K79" r:id="rId68" xr:uid="{3B110D25-33A4-4F3B-9AFB-6D98E5F106A1}"/>
    <hyperlink ref="K80" r:id="rId69" xr:uid="{A1951E88-038F-4511-BEA2-44D1BD92B111}"/>
    <hyperlink ref="K81" r:id="rId70" xr:uid="{6C5D77AF-E421-48D2-969B-5784B7CDBFD7}"/>
    <hyperlink ref="K82" r:id="rId71" xr:uid="{31DDF54C-45CA-4F09-B700-025FA0054F1C}"/>
    <hyperlink ref="K83" r:id="rId72" xr:uid="{0632B20B-902F-4E6B-A96F-5E25AEC787FD}"/>
    <hyperlink ref="K84" r:id="rId73" xr:uid="{D8E8E419-4502-44F6-8864-B97208BF9F13}"/>
    <hyperlink ref="K85" r:id="rId74" xr:uid="{F3F858B7-C67A-4510-8149-215138AE979D}"/>
    <hyperlink ref="K86" r:id="rId75" xr:uid="{D61262FD-DF2A-4CC9-9CC3-BB03CFA402A4}"/>
    <hyperlink ref="K87" r:id="rId76" xr:uid="{1C5AF07D-A8DD-45CF-875E-524C4CFAEFA7}"/>
    <hyperlink ref="K88" r:id="rId77" xr:uid="{186E2252-4F16-4962-9711-6F8631DB5D4B}"/>
    <hyperlink ref="K90" r:id="rId78" xr:uid="{35DEFFD5-2614-45F3-AAD3-E84E4655D08E}"/>
    <hyperlink ref="K91" r:id="rId79" xr:uid="{F7BC72FA-CCEB-4A17-B432-49EE6169617E}"/>
    <hyperlink ref="K93" r:id="rId80" location="overview" xr:uid="{B64FF46B-79CC-4F37-900C-8C34A35A081F}"/>
    <hyperlink ref="K94" r:id="rId81" xr:uid="{9ADAE326-4746-4789-9F21-982AFF1AABDD}"/>
    <hyperlink ref="K95" r:id="rId82" xr:uid="{E7D9CEB7-05D1-438B-96DE-3CEBFCE29994}"/>
    <hyperlink ref="K96" r:id="rId83" xr:uid="{966F9E07-C5C3-4403-B4C2-221279DF9725}"/>
    <hyperlink ref="K97" r:id="rId84" xr:uid="{31990B46-135E-433D-8B08-A74B5BEAA763}"/>
    <hyperlink ref="K98" r:id="rId85" xr:uid="{C59C5CD7-2834-465E-BB88-5FBE7ADE9C24}"/>
    <hyperlink ref="K99" r:id="rId86" xr:uid="{2F378FC2-C3A8-40BA-A4B8-8143139FD22C}"/>
    <hyperlink ref="K100" r:id="rId87" xr:uid="{10950828-FD4A-4902-B175-C983C1EEF1AD}"/>
    <hyperlink ref="K101" r:id="rId88" xr:uid="{3F51BB57-0A35-4B36-B8E8-11A109C3FD32}"/>
  </hyperlinks>
  <pageMargins left="0.7" right="0.7" top="0.75" bottom="0.75" header="0" footer="0"/>
  <pageSetup paperSize="9" orientation="portrait" r:id="rId89"/>
  <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2E4F-F238-4F7D-AF6B-B176EC7E1096}">
  <dimension ref="A1:D80"/>
  <sheetViews>
    <sheetView tabSelected="1" topLeftCell="A52" workbookViewId="0">
      <selection activeCell="C59" sqref="C59"/>
    </sheetView>
  </sheetViews>
  <sheetFormatPr baseColWidth="10" defaultRowHeight="15"/>
  <cols>
    <col min="1" max="1" width="76.42578125" bestFit="1" customWidth="1"/>
    <col min="2" max="2" width="14.28515625" bestFit="1" customWidth="1"/>
    <col min="3" max="3" width="94" bestFit="1" customWidth="1"/>
  </cols>
  <sheetData>
    <row r="1" spans="1:4">
      <c r="A1" t="s">
        <v>406</v>
      </c>
      <c r="B1" t="s">
        <v>407</v>
      </c>
      <c r="C1" t="s">
        <v>418</v>
      </c>
      <c r="D1" t="s">
        <v>421</v>
      </c>
    </row>
    <row r="2" spans="1:4">
      <c r="A2" t="s">
        <v>23</v>
      </c>
      <c r="B2" t="s">
        <v>24</v>
      </c>
      <c r="C2" t="s">
        <v>27</v>
      </c>
      <c r="D2" t="s">
        <v>422</v>
      </c>
    </row>
    <row r="3" spans="1:4">
      <c r="A3" t="s">
        <v>29</v>
      </c>
      <c r="B3" t="s">
        <v>30</v>
      </c>
      <c r="C3" t="s">
        <v>31</v>
      </c>
      <c r="D3" t="s">
        <v>422</v>
      </c>
    </row>
    <row r="4" spans="1:4">
      <c r="A4" t="s">
        <v>32</v>
      </c>
      <c r="B4" t="s">
        <v>33</v>
      </c>
      <c r="C4" t="s">
        <v>35</v>
      </c>
      <c r="D4" t="s">
        <v>422</v>
      </c>
    </row>
    <row r="5" spans="1:4">
      <c r="A5" t="s">
        <v>36</v>
      </c>
      <c r="B5" t="s">
        <v>37</v>
      </c>
      <c r="C5" t="s">
        <v>39</v>
      </c>
      <c r="D5" t="s">
        <v>422</v>
      </c>
    </row>
    <row r="6" spans="1:4">
      <c r="A6" t="s">
        <v>40</v>
      </c>
      <c r="B6" t="s">
        <v>41</v>
      </c>
      <c r="C6" t="s">
        <v>42</v>
      </c>
      <c r="D6" t="s">
        <v>422</v>
      </c>
    </row>
    <row r="7" spans="1:4">
      <c r="A7" t="s">
        <v>44</v>
      </c>
      <c r="B7" t="s">
        <v>45</v>
      </c>
      <c r="C7" t="s">
        <v>46</v>
      </c>
      <c r="D7" t="s">
        <v>422</v>
      </c>
    </row>
    <row r="8" spans="1:4">
      <c r="A8" t="s">
        <v>47</v>
      </c>
      <c r="B8" t="s">
        <v>48</v>
      </c>
      <c r="C8" t="s">
        <v>50</v>
      </c>
      <c r="D8" t="s">
        <v>422</v>
      </c>
    </row>
    <row r="9" spans="1:4">
      <c r="A9" t="s">
        <v>53</v>
      </c>
      <c r="B9" t="s">
        <v>54</v>
      </c>
      <c r="C9" t="s">
        <v>57</v>
      </c>
      <c r="D9" t="s">
        <v>423</v>
      </c>
    </row>
    <row r="10" spans="1:4">
      <c r="A10" t="s">
        <v>58</v>
      </c>
      <c r="B10" t="s">
        <v>59</v>
      </c>
      <c r="C10" t="s">
        <v>62</v>
      </c>
      <c r="D10" t="s">
        <v>423</v>
      </c>
    </row>
    <row r="11" spans="1:4">
      <c r="A11" t="s">
        <v>63</v>
      </c>
      <c r="B11" t="s">
        <v>64</v>
      </c>
      <c r="C11" t="s">
        <v>66</v>
      </c>
      <c r="D11" t="s">
        <v>423</v>
      </c>
    </row>
    <row r="12" spans="1:4">
      <c r="A12" t="s">
        <v>68</v>
      </c>
      <c r="B12" t="s">
        <v>69</v>
      </c>
      <c r="C12" t="s">
        <v>71</v>
      </c>
      <c r="D12" t="s">
        <v>423</v>
      </c>
    </row>
    <row r="13" spans="1:4">
      <c r="A13" t="s">
        <v>72</v>
      </c>
      <c r="B13" t="s">
        <v>73</v>
      </c>
      <c r="C13" t="s">
        <v>75</v>
      </c>
      <c r="D13" t="s">
        <v>423</v>
      </c>
    </row>
    <row r="14" spans="1:4">
      <c r="A14" t="s">
        <v>76</v>
      </c>
      <c r="B14" t="s">
        <v>77</v>
      </c>
      <c r="C14" t="s">
        <v>79</v>
      </c>
      <c r="D14" t="s">
        <v>423</v>
      </c>
    </row>
    <row r="15" spans="1:4">
      <c r="A15" t="s">
        <v>80</v>
      </c>
      <c r="B15" t="s">
        <v>81</v>
      </c>
      <c r="C15" t="s">
        <v>83</v>
      </c>
      <c r="D15" t="s">
        <v>423</v>
      </c>
    </row>
    <row r="16" spans="1:4">
      <c r="A16" t="s">
        <v>86</v>
      </c>
      <c r="B16" t="s">
        <v>87</v>
      </c>
      <c r="C16" t="s">
        <v>88</v>
      </c>
      <c r="D16" t="s">
        <v>423</v>
      </c>
    </row>
    <row r="17" spans="1:4">
      <c r="A17" t="s">
        <v>89</v>
      </c>
      <c r="B17" t="s">
        <v>90</v>
      </c>
      <c r="C17" t="s">
        <v>93</v>
      </c>
      <c r="D17" t="s">
        <v>423</v>
      </c>
    </row>
    <row r="18" spans="1:4">
      <c r="A18" t="s">
        <v>94</v>
      </c>
      <c r="B18" t="s">
        <v>95</v>
      </c>
      <c r="C18" t="s">
        <v>97</v>
      </c>
      <c r="D18" t="s">
        <v>423</v>
      </c>
    </row>
    <row r="19" spans="1:4">
      <c r="A19" t="s">
        <v>98</v>
      </c>
      <c r="B19" t="s">
        <v>99</v>
      </c>
      <c r="C19" t="s">
        <v>100</v>
      </c>
      <c r="D19" t="s">
        <v>423</v>
      </c>
    </row>
    <row r="20" spans="1:4">
      <c r="A20" t="s">
        <v>101</v>
      </c>
      <c r="B20" t="s">
        <v>102</v>
      </c>
      <c r="C20" t="s">
        <v>103</v>
      </c>
      <c r="D20" t="s">
        <v>423</v>
      </c>
    </row>
    <row r="21" spans="1:4">
      <c r="A21" t="s">
        <v>104</v>
      </c>
      <c r="B21" t="s">
        <v>105</v>
      </c>
      <c r="C21" t="s">
        <v>107</v>
      </c>
      <c r="D21" t="s">
        <v>423</v>
      </c>
    </row>
    <row r="22" spans="1:4">
      <c r="A22" t="s">
        <v>108</v>
      </c>
      <c r="B22" t="s">
        <v>109</v>
      </c>
      <c r="C22" t="s">
        <v>111</v>
      </c>
      <c r="D22" t="s">
        <v>423</v>
      </c>
    </row>
    <row r="23" spans="1:4">
      <c r="A23" t="s">
        <v>113</v>
      </c>
      <c r="B23" t="s">
        <v>114</v>
      </c>
      <c r="C23" t="s">
        <v>116</v>
      </c>
      <c r="D23" t="s">
        <v>423</v>
      </c>
    </row>
    <row r="24" spans="1:4">
      <c r="A24" t="s">
        <v>118</v>
      </c>
      <c r="B24" t="s">
        <v>119</v>
      </c>
      <c r="C24" t="s">
        <v>121</v>
      </c>
      <c r="D24" t="s">
        <v>423</v>
      </c>
    </row>
    <row r="25" spans="1:4">
      <c r="A25" t="s">
        <v>124</v>
      </c>
      <c r="B25" t="s">
        <v>125</v>
      </c>
      <c r="C25" t="s">
        <v>127</v>
      </c>
      <c r="D25" t="s">
        <v>424</v>
      </c>
    </row>
    <row r="26" spans="1:4">
      <c r="A26" t="s">
        <v>128</v>
      </c>
      <c r="B26" t="s">
        <v>129</v>
      </c>
      <c r="C26" t="s">
        <v>132</v>
      </c>
      <c r="D26" t="s">
        <v>424</v>
      </c>
    </row>
    <row r="27" spans="1:4">
      <c r="A27" t="s">
        <v>133</v>
      </c>
      <c r="B27" t="s">
        <v>134</v>
      </c>
      <c r="C27" t="s">
        <v>137</v>
      </c>
      <c r="D27" t="s">
        <v>424</v>
      </c>
    </row>
    <row r="28" spans="1:4">
      <c r="A28" t="s">
        <v>139</v>
      </c>
      <c r="B28" t="s">
        <v>140</v>
      </c>
      <c r="C28" t="s">
        <v>143</v>
      </c>
      <c r="D28" t="s">
        <v>424</v>
      </c>
    </row>
    <row r="29" spans="1:4">
      <c r="A29" t="s">
        <v>145</v>
      </c>
      <c r="B29" t="s">
        <v>146</v>
      </c>
      <c r="C29" t="s">
        <v>148</v>
      </c>
      <c r="D29" t="s">
        <v>424</v>
      </c>
    </row>
    <row r="30" spans="1:4">
      <c r="A30" t="s">
        <v>149</v>
      </c>
      <c r="B30" t="s">
        <v>150</v>
      </c>
      <c r="C30" t="s">
        <v>152</v>
      </c>
      <c r="D30" t="s">
        <v>424</v>
      </c>
    </row>
    <row r="31" spans="1:4">
      <c r="A31" t="s">
        <v>153</v>
      </c>
      <c r="B31" t="s">
        <v>154</v>
      </c>
      <c r="C31" t="s">
        <v>156</v>
      </c>
      <c r="D31" t="s">
        <v>424</v>
      </c>
    </row>
    <row r="32" spans="1:4">
      <c r="A32" t="s">
        <v>157</v>
      </c>
      <c r="B32" t="s">
        <v>158</v>
      </c>
      <c r="C32" t="s">
        <v>160</v>
      </c>
      <c r="D32" t="s">
        <v>424</v>
      </c>
    </row>
    <row r="33" spans="1:4">
      <c r="A33" t="s">
        <v>161</v>
      </c>
      <c r="B33" t="s">
        <v>162</v>
      </c>
      <c r="C33" t="s">
        <v>164</v>
      </c>
      <c r="D33" t="s">
        <v>424</v>
      </c>
    </row>
    <row r="34" spans="1:4">
      <c r="A34" t="s">
        <v>165</v>
      </c>
      <c r="B34" t="s">
        <v>166</v>
      </c>
      <c r="C34" t="s">
        <v>168</v>
      </c>
      <c r="D34" t="s">
        <v>424</v>
      </c>
    </row>
    <row r="35" spans="1:4">
      <c r="A35" t="s">
        <v>171</v>
      </c>
      <c r="B35" t="s">
        <v>172</v>
      </c>
      <c r="C35" t="s">
        <v>174</v>
      </c>
      <c r="D35" t="s">
        <v>424</v>
      </c>
    </row>
    <row r="36" spans="1:4">
      <c r="A36" t="s">
        <v>176</v>
      </c>
      <c r="B36" t="s">
        <v>177</v>
      </c>
      <c r="C36" t="s">
        <v>179</v>
      </c>
      <c r="D36" t="s">
        <v>424</v>
      </c>
    </row>
    <row r="37" spans="1:4">
      <c r="A37" t="s">
        <v>181</v>
      </c>
      <c r="B37" t="s">
        <v>182</v>
      </c>
      <c r="C37" t="s">
        <v>185</v>
      </c>
      <c r="D37" t="s">
        <v>424</v>
      </c>
    </row>
    <row r="38" spans="1:4">
      <c r="A38" t="s">
        <v>186</v>
      </c>
      <c r="B38" t="s">
        <v>187</v>
      </c>
      <c r="C38" t="s">
        <v>189</v>
      </c>
      <c r="D38" t="s">
        <v>424</v>
      </c>
    </row>
    <row r="39" spans="1:4">
      <c r="A39" t="s">
        <v>190</v>
      </c>
      <c r="B39" t="s">
        <v>191</v>
      </c>
      <c r="C39" t="s">
        <v>192</v>
      </c>
      <c r="D39" t="s">
        <v>424</v>
      </c>
    </row>
    <row r="40" spans="1:4">
      <c r="A40" t="s">
        <v>193</v>
      </c>
      <c r="B40" t="s">
        <v>194</v>
      </c>
      <c r="C40" t="s">
        <v>195</v>
      </c>
      <c r="D40" t="s">
        <v>424</v>
      </c>
    </row>
    <row r="41" spans="1:4">
      <c r="A41" t="s">
        <v>197</v>
      </c>
      <c r="B41" t="s">
        <v>198</v>
      </c>
      <c r="C41" t="s">
        <v>200</v>
      </c>
      <c r="D41" t="s">
        <v>424</v>
      </c>
    </row>
    <row r="42" spans="1:4">
      <c r="A42" t="s">
        <v>201</v>
      </c>
      <c r="B42" t="s">
        <v>202</v>
      </c>
      <c r="C42" t="s">
        <v>204</v>
      </c>
      <c r="D42" t="s">
        <v>424</v>
      </c>
    </row>
    <row r="43" spans="1:4">
      <c r="A43" t="s">
        <v>205</v>
      </c>
      <c r="B43" t="s">
        <v>206</v>
      </c>
      <c r="C43" t="s">
        <v>207</v>
      </c>
      <c r="D43" t="s">
        <v>424</v>
      </c>
    </row>
    <row r="44" spans="1:4">
      <c r="A44" t="s">
        <v>209</v>
      </c>
      <c r="B44" t="s">
        <v>210</v>
      </c>
      <c r="C44" t="s">
        <v>213</v>
      </c>
      <c r="D44" t="s">
        <v>425</v>
      </c>
    </row>
    <row r="45" spans="1:4">
      <c r="A45" t="s">
        <v>215</v>
      </c>
      <c r="B45" t="s">
        <v>413</v>
      </c>
      <c r="C45" t="s">
        <v>217</v>
      </c>
      <c r="D45" t="s">
        <v>426</v>
      </c>
    </row>
    <row r="46" spans="1:4">
      <c r="A46" t="s">
        <v>218</v>
      </c>
      <c r="B46" t="s">
        <v>414</v>
      </c>
      <c r="C46" t="s">
        <v>220</v>
      </c>
      <c r="D46" t="s">
        <v>426</v>
      </c>
    </row>
    <row r="47" spans="1:4">
      <c r="A47" t="s">
        <v>221</v>
      </c>
      <c r="B47" t="s">
        <v>222</v>
      </c>
      <c r="C47" t="s">
        <v>223</v>
      </c>
      <c r="D47" t="s">
        <v>426</v>
      </c>
    </row>
    <row r="48" spans="1:4">
      <c r="A48" t="s">
        <v>224</v>
      </c>
      <c r="B48" t="s">
        <v>225</v>
      </c>
      <c r="C48" t="s">
        <v>227</v>
      </c>
      <c r="D48" t="s">
        <v>426</v>
      </c>
    </row>
    <row r="49" spans="1:4">
      <c r="A49" t="s">
        <v>228</v>
      </c>
      <c r="B49" t="s">
        <v>415</v>
      </c>
      <c r="C49" t="s">
        <v>230</v>
      </c>
      <c r="D49" t="s">
        <v>426</v>
      </c>
    </row>
    <row r="50" spans="1:4">
      <c r="A50" t="s">
        <v>231</v>
      </c>
      <c r="B50" t="s">
        <v>232</v>
      </c>
      <c r="C50" t="s">
        <v>234</v>
      </c>
      <c r="D50" t="s">
        <v>426</v>
      </c>
    </row>
    <row r="51" spans="1:4">
      <c r="A51" t="s">
        <v>235</v>
      </c>
      <c r="B51" t="s">
        <v>236</v>
      </c>
      <c r="C51" t="s">
        <v>238</v>
      </c>
      <c r="D51" t="s">
        <v>426</v>
      </c>
    </row>
    <row r="52" spans="1:4">
      <c r="A52" t="s">
        <v>244</v>
      </c>
      <c r="B52" t="s">
        <v>245</v>
      </c>
      <c r="C52" t="s">
        <v>247</v>
      </c>
      <c r="D52" t="s">
        <v>426</v>
      </c>
    </row>
    <row r="53" spans="1:4">
      <c r="A53" t="s">
        <v>249</v>
      </c>
      <c r="B53" t="s">
        <v>250</v>
      </c>
      <c r="C53" t="s">
        <v>252</v>
      </c>
      <c r="D53" t="s">
        <v>426</v>
      </c>
    </row>
    <row r="54" spans="1:4">
      <c r="A54" t="s">
        <v>253</v>
      </c>
      <c r="B54" t="s">
        <v>254</v>
      </c>
      <c r="C54" t="s">
        <v>256</v>
      </c>
      <c r="D54" t="s">
        <v>426</v>
      </c>
    </row>
    <row r="55" spans="1:4">
      <c r="A55" t="s">
        <v>258</v>
      </c>
      <c r="B55" t="s">
        <v>259</v>
      </c>
      <c r="C55" t="s">
        <v>261</v>
      </c>
      <c r="D55" t="s">
        <v>426</v>
      </c>
    </row>
    <row r="56" spans="1:4">
      <c r="A56" t="s">
        <v>263</v>
      </c>
      <c r="B56" t="s">
        <v>416</v>
      </c>
      <c r="C56" t="s">
        <v>264</v>
      </c>
      <c r="D56" t="s">
        <v>426</v>
      </c>
    </row>
    <row r="57" spans="1:4">
      <c r="A57" t="s">
        <v>268</v>
      </c>
      <c r="B57" t="s">
        <v>269</v>
      </c>
      <c r="C57" t="s">
        <v>271</v>
      </c>
      <c r="D57" t="s">
        <v>426</v>
      </c>
    </row>
    <row r="58" spans="1:4">
      <c r="A58" t="s">
        <v>272</v>
      </c>
      <c r="B58" t="s">
        <v>273</v>
      </c>
      <c r="C58" t="s">
        <v>275</v>
      </c>
      <c r="D58" t="s">
        <v>426</v>
      </c>
    </row>
    <row r="59" spans="1:4">
      <c r="A59" t="s">
        <v>276</v>
      </c>
      <c r="B59" t="s">
        <v>428</v>
      </c>
      <c r="C59" t="s">
        <v>429</v>
      </c>
      <c r="D59" t="s">
        <v>426</v>
      </c>
    </row>
    <row r="60" spans="1:4">
      <c r="A60" t="s">
        <v>280</v>
      </c>
      <c r="B60" t="s">
        <v>281</v>
      </c>
      <c r="C60" t="s">
        <v>282</v>
      </c>
      <c r="D60" t="s">
        <v>426</v>
      </c>
    </row>
    <row r="61" spans="1:4">
      <c r="A61" t="s">
        <v>283</v>
      </c>
      <c r="B61" t="s">
        <v>284</v>
      </c>
      <c r="C61" t="s">
        <v>285</v>
      </c>
      <c r="D61" t="s">
        <v>426</v>
      </c>
    </row>
    <row r="62" spans="1:4">
      <c r="A62" t="s">
        <v>286</v>
      </c>
      <c r="B62" t="s">
        <v>287</v>
      </c>
      <c r="C62" t="s">
        <v>288</v>
      </c>
      <c r="D62" t="s">
        <v>426</v>
      </c>
    </row>
    <row r="63" spans="1:4">
      <c r="A63" t="s">
        <v>289</v>
      </c>
      <c r="B63" t="s">
        <v>290</v>
      </c>
      <c r="C63" t="s">
        <v>293</v>
      </c>
      <c r="D63" t="s">
        <v>426</v>
      </c>
    </row>
    <row r="64" spans="1:4">
      <c r="A64" t="s">
        <v>294</v>
      </c>
      <c r="B64" t="s">
        <v>295</v>
      </c>
      <c r="C64" t="s">
        <v>297</v>
      </c>
      <c r="D64" t="s">
        <v>426</v>
      </c>
    </row>
    <row r="65" spans="1:4">
      <c r="A65" t="s">
        <v>299</v>
      </c>
      <c r="B65" t="s">
        <v>300</v>
      </c>
      <c r="C65" t="s">
        <v>303</v>
      </c>
      <c r="D65" t="s">
        <v>426</v>
      </c>
    </row>
    <row r="66" spans="1:4">
      <c r="A66" t="s">
        <v>305</v>
      </c>
      <c r="B66" t="s">
        <v>306</v>
      </c>
      <c r="C66" t="s">
        <v>308</v>
      </c>
      <c r="D66" t="s">
        <v>426</v>
      </c>
    </row>
    <row r="67" spans="1:4">
      <c r="A67" t="s">
        <v>310</v>
      </c>
      <c r="B67" t="s">
        <v>311</v>
      </c>
      <c r="C67" s="43" t="s">
        <v>417</v>
      </c>
      <c r="D67" t="s">
        <v>427</v>
      </c>
    </row>
    <row r="68" spans="1:4">
      <c r="A68" t="s">
        <v>315</v>
      </c>
      <c r="B68" t="s">
        <v>316</v>
      </c>
      <c r="C68" t="s">
        <v>318</v>
      </c>
      <c r="D68" t="s">
        <v>427</v>
      </c>
    </row>
    <row r="69" spans="1:4">
      <c r="A69" t="s">
        <v>319</v>
      </c>
      <c r="B69" t="s">
        <v>320</v>
      </c>
      <c r="C69" t="s">
        <v>322</v>
      </c>
      <c r="D69" t="s">
        <v>427</v>
      </c>
    </row>
    <row r="70" spans="1:4">
      <c r="A70" t="s">
        <v>323</v>
      </c>
      <c r="B70" t="s">
        <v>324</v>
      </c>
      <c r="C70" t="s">
        <v>327</v>
      </c>
      <c r="D70" t="s">
        <v>427</v>
      </c>
    </row>
    <row r="71" spans="1:4">
      <c r="A71" t="s">
        <v>329</v>
      </c>
      <c r="B71" t="s">
        <v>330</v>
      </c>
      <c r="C71" t="s">
        <v>331</v>
      </c>
      <c r="D71" t="s">
        <v>427</v>
      </c>
    </row>
    <row r="72" spans="1:4">
      <c r="A72" t="s">
        <v>332</v>
      </c>
      <c r="B72" t="s">
        <v>333</v>
      </c>
      <c r="C72" t="s">
        <v>335</v>
      </c>
      <c r="D72" t="s">
        <v>427</v>
      </c>
    </row>
    <row r="73" spans="1:4">
      <c r="A73" t="s">
        <v>336</v>
      </c>
      <c r="B73" t="s">
        <v>419</v>
      </c>
      <c r="C73" t="s">
        <v>420</v>
      </c>
      <c r="D73" t="s">
        <v>427</v>
      </c>
    </row>
    <row r="74" spans="1:4">
      <c r="A74" t="s">
        <v>341</v>
      </c>
      <c r="B74" t="s">
        <v>342</v>
      </c>
      <c r="C74" t="s">
        <v>346</v>
      </c>
      <c r="D74" t="s">
        <v>427</v>
      </c>
    </row>
    <row r="75" spans="1:4">
      <c r="A75" t="s">
        <v>347</v>
      </c>
      <c r="B75" t="s">
        <v>348</v>
      </c>
      <c r="C75" t="s">
        <v>352</v>
      </c>
      <c r="D75" t="s">
        <v>427</v>
      </c>
    </row>
    <row r="76" spans="1:4">
      <c r="A76" t="s">
        <v>354</v>
      </c>
      <c r="B76" t="s">
        <v>355</v>
      </c>
      <c r="C76" t="s">
        <v>358</v>
      </c>
      <c r="D76" t="s">
        <v>427</v>
      </c>
    </row>
    <row r="77" spans="1:4">
      <c r="A77" t="s">
        <v>359</v>
      </c>
      <c r="B77" t="s">
        <v>360</v>
      </c>
      <c r="C77" t="s">
        <v>361</v>
      </c>
      <c r="D77" t="s">
        <v>427</v>
      </c>
    </row>
    <row r="78" spans="1:4">
      <c r="A78" t="s">
        <v>362</v>
      </c>
      <c r="B78" t="s">
        <v>363</v>
      </c>
      <c r="C78" t="s">
        <v>364</v>
      </c>
      <c r="D78" t="s">
        <v>427</v>
      </c>
    </row>
    <row r="79" spans="1:4">
      <c r="A79" t="s">
        <v>365</v>
      </c>
      <c r="B79" t="s">
        <v>366</v>
      </c>
      <c r="C79" t="s">
        <v>367</v>
      </c>
      <c r="D79" t="s">
        <v>427</v>
      </c>
    </row>
    <row r="80" spans="1:4">
      <c r="A80" t="s">
        <v>368</v>
      </c>
      <c r="B80" t="s">
        <v>369</v>
      </c>
      <c r="C80" t="s">
        <v>370</v>
      </c>
      <c r="D80" t="s">
        <v>427</v>
      </c>
    </row>
  </sheetData>
  <hyperlinks>
    <hyperlink ref="C67" r:id="rId1" xr:uid="{F2754371-9217-49C1-A872-C47785AE806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1E33-289C-4461-A913-39D2E9F205A0}">
  <dimension ref="A1:G38"/>
  <sheetViews>
    <sheetView workbookViewId="0">
      <selection activeCell="I29" sqref="I29"/>
    </sheetView>
  </sheetViews>
  <sheetFormatPr baseColWidth="10" defaultRowHeight="15"/>
  <cols>
    <col min="1" max="1" width="55.85546875" bestFit="1" customWidth="1"/>
  </cols>
  <sheetData>
    <row r="1" spans="1:7">
      <c r="A1" t="s">
        <v>406</v>
      </c>
      <c r="B1" t="s">
        <v>407</v>
      </c>
      <c r="C1" t="s">
        <v>408</v>
      </c>
      <c r="D1" t="s">
        <v>409</v>
      </c>
      <c r="E1" t="s">
        <v>410</v>
      </c>
      <c r="F1" t="s">
        <v>411</v>
      </c>
      <c r="G1" t="s">
        <v>412</v>
      </c>
    </row>
    <row r="2" spans="1:7">
      <c r="A2" s="11" t="s">
        <v>209</v>
      </c>
      <c r="B2" s="11" t="s">
        <v>210</v>
      </c>
    </row>
    <row r="3" spans="1:7">
      <c r="A3" s="11" t="s">
        <v>215</v>
      </c>
      <c r="B3" s="11" t="str">
        <f>HYPERLINK("https://www.ie.vanguard/products/fund/equity/9837/global-stock-index-fund-eur-acc","IE00B03HD191")</f>
        <v>IE00B03HD191</v>
      </c>
      <c r="C3">
        <v>0.75</v>
      </c>
      <c r="D3">
        <v>0.7</v>
      </c>
      <c r="E3">
        <v>0.55000000000000004</v>
      </c>
      <c r="F3">
        <v>0.45</v>
      </c>
      <c r="G3">
        <v>0.27500000000000002</v>
      </c>
    </row>
    <row r="4" spans="1:7">
      <c r="A4" s="11" t="s">
        <v>224</v>
      </c>
      <c r="B4" s="11" t="s">
        <v>225</v>
      </c>
    </row>
    <row r="5" spans="1:7">
      <c r="A5" s="11" t="s">
        <v>228</v>
      </c>
      <c r="B5" s="11" t="str">
        <f>HYPERLINK("https://www.ie.vanguard/products/fund/equity/9229/emerging-markets-stock-index-fund-eur-acc","IE0031786696")</f>
        <v>IE0031786696</v>
      </c>
      <c r="C5">
        <v>0.15</v>
      </c>
      <c r="D5">
        <v>0.1</v>
      </c>
      <c r="E5">
        <v>0.05</v>
      </c>
      <c r="F5">
        <v>0.05</v>
      </c>
      <c r="G5">
        <v>2.5000000000000001E-2</v>
      </c>
    </row>
    <row r="6" spans="1:7">
      <c r="A6" s="11" t="s">
        <v>231</v>
      </c>
      <c r="B6" s="11" t="s">
        <v>232</v>
      </c>
    </row>
    <row r="7" spans="1:7">
      <c r="A7" s="11" t="s">
        <v>235</v>
      </c>
      <c r="B7" s="11" t="s">
        <v>236</v>
      </c>
      <c r="D7">
        <v>0.1</v>
      </c>
    </row>
    <row r="8" spans="1:7">
      <c r="A8" s="11" t="s">
        <v>253</v>
      </c>
      <c r="B8" s="11" t="s">
        <v>254</v>
      </c>
    </row>
    <row r="9" spans="1:7">
      <c r="A9" s="11" t="s">
        <v>268</v>
      </c>
      <c r="B9" s="11" t="s">
        <v>269</v>
      </c>
      <c r="E9">
        <v>0.05</v>
      </c>
    </row>
    <row r="10" spans="1:7">
      <c r="A10" s="11" t="s">
        <v>276</v>
      </c>
      <c r="B10" s="11" t="s">
        <v>277</v>
      </c>
      <c r="E10">
        <v>0.05</v>
      </c>
    </row>
    <row r="11" spans="1:7">
      <c r="A11" s="11" t="s">
        <v>280</v>
      </c>
      <c r="B11" s="11" t="s">
        <v>281</v>
      </c>
      <c r="E11">
        <v>0.05</v>
      </c>
    </row>
    <row r="12" spans="1:7">
      <c r="A12" s="11" t="s">
        <v>283</v>
      </c>
      <c r="B12" s="11" t="s">
        <v>284</v>
      </c>
      <c r="E12">
        <v>0.05</v>
      </c>
    </row>
    <row r="13" spans="1:7">
      <c r="A13" s="11" t="s">
        <v>286</v>
      </c>
      <c r="B13" s="11" t="s">
        <v>287</v>
      </c>
      <c r="E13">
        <v>0.05</v>
      </c>
    </row>
    <row r="14" spans="1:7">
      <c r="A14" s="11" t="s">
        <v>289</v>
      </c>
      <c r="B14" s="11" t="s">
        <v>290</v>
      </c>
      <c r="E14">
        <v>0.05</v>
      </c>
    </row>
    <row r="15" spans="1:7">
      <c r="A15" s="11" t="s">
        <v>310</v>
      </c>
      <c r="B15" s="11" t="s">
        <v>311</v>
      </c>
      <c r="G15">
        <v>0.02</v>
      </c>
    </row>
    <row r="16" spans="1:7">
      <c r="A16" s="11" t="s">
        <v>315</v>
      </c>
      <c r="B16" s="11" t="s">
        <v>316</v>
      </c>
      <c r="F16">
        <v>0.05</v>
      </c>
      <c r="G16">
        <v>0.02</v>
      </c>
    </row>
    <row r="17" spans="1:7">
      <c r="A17" s="11" t="s">
        <v>319</v>
      </c>
      <c r="B17" s="11" t="s">
        <v>320</v>
      </c>
      <c r="G17">
        <v>0.01</v>
      </c>
    </row>
    <row r="18" spans="1:7">
      <c r="A18" s="11" t="s">
        <v>323</v>
      </c>
      <c r="B18" s="11" t="s">
        <v>324</v>
      </c>
      <c r="F18">
        <v>0.05</v>
      </c>
      <c r="G18">
        <v>0.02</v>
      </c>
    </row>
    <row r="19" spans="1:7">
      <c r="A19" s="11" t="s">
        <v>329</v>
      </c>
      <c r="B19" s="11" t="s">
        <v>330</v>
      </c>
    </row>
    <row r="20" spans="1:7">
      <c r="A20" s="11" t="s">
        <v>332</v>
      </c>
      <c r="B20" s="11" t="s">
        <v>333</v>
      </c>
    </row>
    <row r="21" spans="1:7">
      <c r="A21" s="11" t="s">
        <v>336</v>
      </c>
      <c r="B21" s="11" t="s">
        <v>337</v>
      </c>
    </row>
    <row r="22" spans="1:7">
      <c r="A22" s="11" t="s">
        <v>341</v>
      </c>
      <c r="B22" s="11" t="s">
        <v>342</v>
      </c>
      <c r="G22">
        <v>0.01</v>
      </c>
    </row>
    <row r="23" spans="1:7">
      <c r="A23" s="11" t="s">
        <v>124</v>
      </c>
      <c r="B23" s="11" t="s">
        <v>125</v>
      </c>
      <c r="F23">
        <v>0.05</v>
      </c>
      <c r="G23">
        <v>0.06</v>
      </c>
    </row>
    <row r="24" spans="1:7">
      <c r="A24" s="11" t="s">
        <v>128</v>
      </c>
      <c r="B24" s="11" t="s">
        <v>129</v>
      </c>
      <c r="F24">
        <v>0.05</v>
      </c>
      <c r="G24">
        <v>0.02</v>
      </c>
    </row>
    <row r="25" spans="1:7">
      <c r="A25" s="11" t="s">
        <v>133</v>
      </c>
      <c r="B25" s="11" t="s">
        <v>134</v>
      </c>
    </row>
    <row r="26" spans="1:7">
      <c r="A26" s="11" t="s">
        <v>139</v>
      </c>
      <c r="B26" s="11" t="s">
        <v>140</v>
      </c>
      <c r="F26">
        <v>0.05</v>
      </c>
      <c r="G26">
        <v>0.06</v>
      </c>
    </row>
    <row r="27" spans="1:7">
      <c r="A27" s="11" t="s">
        <v>145</v>
      </c>
      <c r="B27" s="11" t="s">
        <v>146</v>
      </c>
      <c r="F27">
        <v>0.05</v>
      </c>
      <c r="G27">
        <v>0.12</v>
      </c>
    </row>
    <row r="28" spans="1:7">
      <c r="A28" s="11" t="s">
        <v>149</v>
      </c>
      <c r="B28" s="11" t="s">
        <v>150</v>
      </c>
    </row>
    <row r="29" spans="1:7">
      <c r="A29" s="11" t="s">
        <v>153</v>
      </c>
      <c r="B29" s="11" t="s">
        <v>154</v>
      </c>
      <c r="G29">
        <v>0.01</v>
      </c>
    </row>
    <row r="30" spans="1:7">
      <c r="A30" s="11" t="s">
        <v>53</v>
      </c>
      <c r="B30" s="11" t="s">
        <v>54</v>
      </c>
      <c r="F30">
        <v>0.05</v>
      </c>
      <c r="G30">
        <v>0.08</v>
      </c>
    </row>
    <row r="31" spans="1:7">
      <c r="A31" s="11" t="s">
        <v>58</v>
      </c>
      <c r="B31" s="11" t="s">
        <v>59</v>
      </c>
      <c r="G31">
        <v>0.01</v>
      </c>
    </row>
    <row r="32" spans="1:7">
      <c r="A32" s="11" t="s">
        <v>63</v>
      </c>
      <c r="B32" s="11" t="s">
        <v>64</v>
      </c>
      <c r="F32">
        <v>0.05</v>
      </c>
      <c r="G32">
        <v>0.08</v>
      </c>
    </row>
    <row r="33" spans="1:7">
      <c r="A33" s="11" t="s">
        <v>68</v>
      </c>
      <c r="B33" s="11" t="s">
        <v>69</v>
      </c>
      <c r="G33">
        <v>0.08</v>
      </c>
    </row>
    <row r="34" spans="1:7">
      <c r="A34" s="11" t="s">
        <v>72</v>
      </c>
      <c r="B34" s="11" t="s">
        <v>73</v>
      </c>
    </row>
    <row r="35" spans="1:7">
      <c r="A35" s="11" t="s">
        <v>76</v>
      </c>
      <c r="B35" s="11" t="s">
        <v>77</v>
      </c>
    </row>
    <row r="36" spans="1:7">
      <c r="A36" s="11" t="s">
        <v>80</v>
      </c>
      <c r="B36" s="11" t="s">
        <v>81</v>
      </c>
    </row>
    <row r="37" spans="1:7">
      <c r="A37" s="11" t="s">
        <v>47</v>
      </c>
      <c r="B37" s="11" t="s">
        <v>48</v>
      </c>
      <c r="C37">
        <v>0.1</v>
      </c>
      <c r="D37">
        <v>0.1</v>
      </c>
      <c r="E37">
        <v>0.1</v>
      </c>
      <c r="F37">
        <v>0.1</v>
      </c>
      <c r="G37">
        <v>0.1</v>
      </c>
    </row>
    <row r="38" spans="1:7">
      <c r="A38" s="11" t="s">
        <v>23</v>
      </c>
      <c r="B38" s="11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INDEX</vt:lpstr>
      <vt:lpstr>Links</vt:lpstr>
      <vt:lpstr>Carteras_x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Rubén López</cp:lastModifiedBy>
  <dcterms:created xsi:type="dcterms:W3CDTF">2025-12-21T17:31:14Z</dcterms:created>
  <dcterms:modified xsi:type="dcterms:W3CDTF">2026-01-16T16:18:45Z</dcterms:modified>
</cp:coreProperties>
</file>